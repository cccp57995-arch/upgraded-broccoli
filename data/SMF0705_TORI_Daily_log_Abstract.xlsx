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X:\Crew\"/>
    </mc:Choice>
  </mc:AlternateContent>
  <xr:revisionPtr revIDLastSave="0" documentId="13_ncr:1_{9FEE0DF9-7D6B-4555-91D8-27B9DABD44E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ily (20260401-)" sheetId="45" r:id="rId1"/>
    <sheet name="Daily (20251226-)  " sheetId="44" r:id="rId2"/>
    <sheet name="Daily (20250921-20251225)  " sheetId="43" r:id="rId3"/>
    <sheet name="Daily (20250617-20250920) " sheetId="42" r:id="rId4"/>
    <sheet name="Daily (20250313-0616)" sheetId="41" r:id="rId5"/>
    <sheet name="EEOI說明" sheetId="9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Q75" i="45" l="1"/>
  <c r="AL75" i="45"/>
  <c r="AB75" i="45"/>
  <c r="AB74" i="45" l="1"/>
  <c r="AL74" i="45" l="1"/>
  <c r="AB73" i="45"/>
  <c r="AL73" i="45" l="1"/>
  <c r="AB72" i="45"/>
  <c r="AL72" i="45" l="1"/>
  <c r="AB71" i="45"/>
  <c r="AL71" i="45" l="1"/>
  <c r="AB70" i="45"/>
  <c r="AL70" i="45" l="1"/>
  <c r="AB69" i="45"/>
  <c r="AL69" i="45" l="1"/>
  <c r="AB68" i="45"/>
  <c r="AL68" i="45" l="1"/>
  <c r="AB67" i="45"/>
  <c r="AL67" i="45" l="1"/>
  <c r="AB66" i="45"/>
  <c r="AL66" i="45" l="1"/>
  <c r="AB65" i="45"/>
  <c r="AL65" i="45" l="1"/>
  <c r="AB64" i="45"/>
  <c r="AL64" i="45" l="1"/>
  <c r="AB63" i="45"/>
  <c r="AL63" i="45" l="1"/>
  <c r="AB62" i="45"/>
  <c r="AL62" i="45" l="1"/>
  <c r="AB61" i="45"/>
  <c r="AL61" i="45" l="1"/>
  <c r="AB60" i="45"/>
  <c r="AL60" i="45" l="1"/>
  <c r="AB59" i="45"/>
  <c r="AL59" i="45" l="1"/>
  <c r="AB58" i="45"/>
  <c r="AL58" i="45" l="1"/>
  <c r="AB57" i="45"/>
  <c r="AL57" i="45" l="1"/>
  <c r="AB56" i="45"/>
  <c r="AL56" i="45" l="1"/>
  <c r="AB55" i="45"/>
  <c r="AL55" i="45" l="1"/>
  <c r="AB54" i="45"/>
  <c r="AB53" i="45"/>
  <c r="AL54" i="45" l="1"/>
  <c r="AL53" i="45"/>
  <c r="AB52" i="45" l="1"/>
  <c r="AL52" i="45" l="1"/>
  <c r="AB51" i="45"/>
  <c r="AL51" i="45" l="1"/>
  <c r="AL50" i="45"/>
  <c r="AB50" i="45"/>
  <c r="AB49" i="45" l="1"/>
  <c r="AL49" i="45" l="1"/>
  <c r="AB48" i="45"/>
  <c r="AL48" i="45" l="1"/>
  <c r="AB47" i="45"/>
  <c r="AL47" i="45" l="1"/>
  <c r="AB46" i="45"/>
  <c r="AL46" i="45" l="1"/>
  <c r="AB45" i="45"/>
  <c r="AL45" i="45" l="1"/>
  <c r="AB44" i="45"/>
  <c r="AL44" i="45" l="1"/>
  <c r="AB43" i="45"/>
  <c r="AL43" i="45" l="1"/>
  <c r="AB42" i="45"/>
  <c r="AL42" i="45" l="1"/>
  <c r="AB41" i="45"/>
  <c r="AL41" i="45" l="1"/>
  <c r="AB40" i="45"/>
  <c r="AL40" i="45" l="1"/>
  <c r="AB39" i="45"/>
  <c r="AL39" i="45" l="1"/>
  <c r="AB38" i="45"/>
  <c r="AL38" i="45" l="1"/>
  <c r="AB37" i="45"/>
  <c r="AL37" i="45" l="1"/>
  <c r="AB36" i="45"/>
  <c r="AL36" i="45" l="1"/>
  <c r="AB35" i="45"/>
  <c r="AL35" i="45" l="1"/>
  <c r="AB34" i="45"/>
  <c r="AL34" i="45" l="1"/>
  <c r="AB33" i="45"/>
  <c r="AL33" i="45" l="1"/>
  <c r="AB32" i="45"/>
  <c r="AL32" i="45" l="1"/>
  <c r="AB31" i="45"/>
  <c r="AL31" i="45" l="1"/>
  <c r="AB30" i="45"/>
  <c r="AL30" i="45" l="1"/>
  <c r="AL29" i="45"/>
  <c r="AB29" i="45"/>
  <c r="AB28" i="45" l="1"/>
  <c r="AL28" i="45" l="1"/>
  <c r="AL27" i="45"/>
  <c r="AB27" i="45"/>
  <c r="AB26" i="45" l="1"/>
  <c r="AL26" i="45" l="1"/>
  <c r="AB25" i="45"/>
  <c r="AL25" i="45" l="1"/>
  <c r="AB24" i="45"/>
  <c r="AL24" i="45" l="1"/>
  <c r="AB23" i="45"/>
  <c r="AL23" i="45" l="1"/>
  <c r="AB22" i="45"/>
  <c r="AL22" i="45" l="1"/>
  <c r="AB21" i="45"/>
  <c r="AL21" i="45" l="1"/>
  <c r="AB20" i="45"/>
  <c r="AL20" i="45" l="1"/>
  <c r="AB19" i="45"/>
  <c r="AL19" i="45" l="1"/>
  <c r="AB18" i="45"/>
  <c r="AB17" i="45" l="1"/>
  <c r="AB16" i="45" l="1"/>
  <c r="AB15" i="45" l="1"/>
  <c r="AB14" i="45" l="1"/>
  <c r="AB13" i="45" l="1"/>
  <c r="AB12" i="45" l="1"/>
  <c r="AL11" i="45" l="1"/>
  <c r="AL7" i="45" l="1"/>
  <c r="AB6" i="45"/>
  <c r="AL6" i="45" l="1"/>
  <c r="AQ6" i="45" s="1"/>
  <c r="AQ7" i="45" s="1"/>
  <c r="AQ8" i="45" s="1"/>
  <c r="AQ9" i="45" s="1"/>
  <c r="AQ10" i="45" s="1"/>
  <c r="AQ11" i="45" s="1"/>
  <c r="AQ12" i="45" s="1"/>
  <c r="AQ13" i="45" s="1"/>
  <c r="AQ14" i="45" s="1"/>
  <c r="AQ15" i="45" s="1"/>
  <c r="AQ16" i="45" s="1"/>
  <c r="AQ17" i="45" s="1"/>
  <c r="AQ18" i="45" s="1"/>
  <c r="AQ19" i="45" s="1"/>
  <c r="AQ20" i="45" s="1"/>
  <c r="AQ21" i="45" s="1"/>
  <c r="AQ22" i="45" s="1"/>
  <c r="AQ23" i="45" s="1"/>
  <c r="AQ24" i="45" s="1"/>
  <c r="AQ25" i="45" s="1"/>
  <c r="AQ26" i="45" s="1"/>
  <c r="AQ27" i="45" s="1"/>
  <c r="AQ28" i="45" s="1"/>
  <c r="AQ29" i="45" s="1"/>
  <c r="AQ30" i="45" s="1"/>
  <c r="AQ31" i="45" s="1"/>
  <c r="AQ32" i="45" s="1"/>
  <c r="AQ33" i="45" s="1"/>
  <c r="AQ34" i="45" s="1"/>
  <c r="AQ35" i="45" s="1"/>
  <c r="AQ36" i="45" s="1"/>
  <c r="AQ37" i="45" s="1"/>
  <c r="AQ38" i="45" s="1"/>
  <c r="AQ39" i="45" s="1"/>
  <c r="AQ40" i="45" s="1"/>
  <c r="AQ41" i="45" s="1"/>
  <c r="AQ42" i="45" s="1"/>
  <c r="AQ43" i="45" s="1"/>
  <c r="AQ44" i="45" s="1"/>
  <c r="AQ45" i="45" s="1"/>
  <c r="AQ46" i="45" s="1"/>
  <c r="AQ47" i="45" s="1"/>
  <c r="AQ48" i="45" s="1"/>
  <c r="AQ49" i="45" s="1"/>
  <c r="AQ50" i="45" s="1"/>
  <c r="AQ51" i="45" s="1"/>
  <c r="AQ52" i="45" s="1"/>
  <c r="AQ53" i="45" s="1"/>
  <c r="AQ54" i="45" s="1"/>
  <c r="AQ55" i="45" s="1"/>
  <c r="AQ56" i="45" s="1"/>
  <c r="AQ57" i="45" s="1"/>
  <c r="AQ58" i="45" s="1"/>
  <c r="AQ59" i="45" s="1"/>
  <c r="AQ60" i="45" s="1"/>
  <c r="AQ61" i="45" s="1"/>
  <c r="AQ62" i="45" s="1"/>
  <c r="AQ63" i="45" s="1"/>
  <c r="AQ64" i="45" s="1"/>
  <c r="AQ65" i="45" s="1"/>
  <c r="AQ66" i="45" s="1"/>
  <c r="AQ67" i="45" s="1"/>
  <c r="AQ68" i="45" s="1"/>
  <c r="AQ69" i="45" s="1"/>
  <c r="AQ70" i="45" s="1"/>
  <c r="AQ71" i="45" s="1"/>
  <c r="AQ72" i="45" s="1"/>
  <c r="AQ73" i="45" s="1"/>
  <c r="AQ74" i="45" s="1"/>
  <c r="AB5" i="45"/>
  <c r="AQ1048574" i="45"/>
  <c r="AL101" i="45"/>
  <c r="AQ101" i="45" s="1"/>
  <c r="AB100" i="44" l="1"/>
  <c r="AL100" i="44" l="1"/>
  <c r="AB99" i="44"/>
  <c r="AL99" i="44" l="1"/>
  <c r="AL98" i="44"/>
  <c r="AB98" i="44"/>
  <c r="AB97" i="44" l="1"/>
  <c r="AL97" i="44" l="1"/>
  <c r="AB96" i="44"/>
  <c r="AL96" i="44" l="1"/>
  <c r="AB95" i="44"/>
  <c r="AL95" i="44" l="1"/>
  <c r="AB94" i="44"/>
  <c r="AL94" i="44" l="1"/>
  <c r="AB93" i="44"/>
  <c r="AL93" i="44" l="1"/>
  <c r="AL92" i="44"/>
  <c r="AB92" i="44"/>
  <c r="AB91" i="44" l="1"/>
  <c r="AL91" i="44" l="1"/>
  <c r="AB90" i="44"/>
  <c r="AL90" i="44" l="1"/>
  <c r="AB89" i="44"/>
  <c r="AL89" i="44" l="1"/>
  <c r="AB88" i="44"/>
  <c r="AL88" i="44" l="1"/>
  <c r="AB87" i="44"/>
  <c r="AL87" i="44" l="1"/>
  <c r="AB86" i="44"/>
  <c r="AL86" i="44" l="1"/>
  <c r="AB85" i="44"/>
  <c r="AL85" i="44" l="1"/>
  <c r="AB84" i="44"/>
  <c r="AL84" i="44" l="1"/>
  <c r="AB83" i="44"/>
  <c r="AL83" i="44" l="1"/>
  <c r="AB82" i="44"/>
  <c r="AL82" i="44" l="1"/>
  <c r="AB81" i="44"/>
  <c r="AL81" i="44" l="1"/>
  <c r="AB80" i="44"/>
  <c r="AL80" i="44" l="1"/>
  <c r="AL79" i="44"/>
  <c r="AB79" i="44"/>
  <c r="AB78" i="44" l="1"/>
  <c r="AL78" i="44" l="1"/>
  <c r="AB77" i="44"/>
  <c r="AL77" i="44" l="1"/>
  <c r="AB76" i="44"/>
  <c r="AL76" i="44" l="1"/>
  <c r="AB75" i="44"/>
  <c r="AL75" i="44" l="1"/>
  <c r="AB74" i="44"/>
  <c r="AL74" i="44" l="1"/>
  <c r="AB73" i="44"/>
  <c r="AL73" i="44" l="1"/>
  <c r="AB72" i="44"/>
  <c r="AL72" i="44" l="1"/>
  <c r="AB71" i="44"/>
  <c r="AL71" i="44" l="1"/>
  <c r="AB70" i="44"/>
  <c r="AB69" i="44"/>
  <c r="AL70" i="44" l="1"/>
  <c r="AL69" i="44"/>
  <c r="AB68" i="44"/>
  <c r="AL68" i="44"/>
  <c r="AB67" i="44"/>
  <c r="AL67" i="44" l="1"/>
  <c r="AB66" i="44"/>
  <c r="AL66" i="44" l="1"/>
  <c r="AB65" i="44"/>
  <c r="AL65" i="44" l="1"/>
  <c r="AB64" i="44"/>
  <c r="AL64" i="44" l="1"/>
  <c r="AL63" i="44"/>
  <c r="AB63" i="44"/>
  <c r="AL62" i="44" l="1"/>
  <c r="AB62" i="44"/>
  <c r="AB61" i="44" l="1"/>
  <c r="AB60" i="44"/>
  <c r="AB59" i="44"/>
  <c r="AL61" i="44"/>
  <c r="AL60" i="44"/>
  <c r="AL59" i="44"/>
  <c r="AB58" i="44"/>
  <c r="AL58" i="44" l="1"/>
  <c r="AB57" i="44"/>
  <c r="AL57" i="44" l="1"/>
  <c r="AB56" i="44"/>
  <c r="AL56" i="44" l="1"/>
  <c r="AB55" i="44"/>
  <c r="AL55" i="44" l="1"/>
  <c r="AQ55" i="44" s="1"/>
  <c r="AQ56" i="44" s="1"/>
  <c r="AQ57" i="44" s="1"/>
  <c r="AQ58" i="44" s="1"/>
  <c r="AQ59" i="44" s="1"/>
  <c r="AQ60" i="44" s="1"/>
  <c r="AQ61" i="44" s="1"/>
  <c r="AQ62" i="44" s="1"/>
  <c r="AQ63" i="44" s="1"/>
  <c r="AQ64" i="44" s="1"/>
  <c r="AQ65" i="44" s="1"/>
  <c r="AQ66" i="44" s="1"/>
  <c r="AQ67" i="44" s="1"/>
  <c r="AQ68" i="44" s="1"/>
  <c r="AQ69" i="44" s="1"/>
  <c r="AQ70" i="44" s="1"/>
  <c r="AQ71" i="44" s="1"/>
  <c r="AQ72" i="44" s="1"/>
  <c r="AQ73" i="44" s="1"/>
  <c r="AQ74" i="44" s="1"/>
  <c r="AQ75" i="44" s="1"/>
  <c r="AQ76" i="44" s="1"/>
  <c r="AQ77" i="44" s="1"/>
  <c r="AQ78" i="44" s="1"/>
  <c r="AQ79" i="44" s="1"/>
  <c r="AQ80" i="44" s="1"/>
  <c r="AQ81" i="44" s="1"/>
  <c r="AQ82" i="44" s="1"/>
  <c r="AQ83" i="44" s="1"/>
  <c r="AQ84" i="44" s="1"/>
  <c r="AQ85" i="44" s="1"/>
  <c r="AQ86" i="44" s="1"/>
  <c r="AQ87" i="44" s="1"/>
  <c r="AQ88" i="44" s="1"/>
  <c r="AQ89" i="44" s="1"/>
  <c r="AQ90" i="44" s="1"/>
  <c r="AQ91" i="44" s="1"/>
  <c r="AQ92" i="44" s="1"/>
  <c r="AQ93" i="44" s="1"/>
  <c r="AQ94" i="44" s="1"/>
  <c r="AQ95" i="44" s="1"/>
  <c r="AQ96" i="44" s="1"/>
  <c r="AQ97" i="44" s="1"/>
  <c r="AQ98" i="44" s="1"/>
  <c r="AQ99" i="44" s="1"/>
  <c r="AQ100" i="44" s="1"/>
  <c r="AL54" i="44"/>
  <c r="AL44" i="44" l="1"/>
  <c r="AL45" i="44"/>
  <c r="AL46" i="44"/>
  <c r="AL47" i="44"/>
  <c r="AL48" i="44"/>
  <c r="AL49" i="44"/>
  <c r="AL50" i="44"/>
  <c r="AL51" i="44"/>
  <c r="AL52" i="44"/>
  <c r="AL53" i="44"/>
  <c r="AB54" i="44"/>
  <c r="AB53" i="44" l="1"/>
  <c r="AB52" i="44" l="1"/>
  <c r="AB51" i="44" l="1"/>
  <c r="AB50" i="44" l="1"/>
  <c r="AB49" i="44" l="1"/>
  <c r="AB48" i="44" l="1"/>
  <c r="AB47" i="44" l="1"/>
  <c r="AB46" i="44" l="1"/>
  <c r="AB45" i="44" l="1"/>
  <c r="AB44" i="44" l="1"/>
  <c r="AL43" i="44" l="1"/>
  <c r="AB43" i="44"/>
  <c r="AL42" i="44" l="1"/>
  <c r="AB42" i="44"/>
  <c r="AB41" i="44" l="1"/>
  <c r="AL41" i="44" l="1"/>
  <c r="AB40" i="44" l="1"/>
  <c r="AL40" i="44" l="1"/>
  <c r="AL39" i="44"/>
  <c r="AB39" i="44"/>
  <c r="AB38" i="44" l="1"/>
  <c r="AL38" i="44" l="1"/>
  <c r="AB37" i="44"/>
  <c r="AL37" i="44" l="1"/>
  <c r="AB36" i="44"/>
  <c r="AL36" i="44" l="1"/>
  <c r="AB35" i="44"/>
  <c r="AL35" i="44" l="1"/>
  <c r="AB34" i="44"/>
  <c r="AL34" i="44" l="1"/>
  <c r="AB33" i="44"/>
  <c r="AL33" i="44" l="1"/>
  <c r="AB32" i="44"/>
  <c r="AL32" i="44" l="1"/>
  <c r="AL31" i="44"/>
  <c r="AB31" i="44"/>
  <c r="AB30" i="44" l="1"/>
  <c r="AL30" i="44" l="1"/>
  <c r="AL29" i="44"/>
  <c r="AL28" i="44"/>
  <c r="AL27" i="44"/>
  <c r="AL26" i="44"/>
  <c r="AL25" i="44"/>
  <c r="AL24" i="44"/>
  <c r="AL23" i="44"/>
  <c r="AL22" i="44"/>
  <c r="AL21" i="44"/>
  <c r="AL20" i="44"/>
  <c r="AL19" i="44"/>
  <c r="AL18" i="44"/>
  <c r="AL17" i="44"/>
  <c r="AL16" i="44"/>
  <c r="AL15" i="44"/>
  <c r="AL14" i="44"/>
  <c r="AL13" i="44"/>
  <c r="AL12" i="44"/>
  <c r="AL11" i="44"/>
  <c r="AL10" i="44"/>
  <c r="AL9" i="44"/>
  <c r="AL8" i="44"/>
  <c r="AL100" i="43"/>
  <c r="AL6" i="44"/>
  <c r="AQ6" i="44" s="1"/>
  <c r="AL5" i="44"/>
  <c r="AL7" i="44"/>
  <c r="AQ1048574" i="44"/>
  <c r="AQ7" i="44" l="1"/>
  <c r="AQ8" i="44" s="1"/>
  <c r="AQ9" i="44" s="1"/>
  <c r="AQ10" i="44" s="1"/>
  <c r="AQ11" i="44" s="1"/>
  <c r="AQ12" i="44" s="1"/>
  <c r="AQ13" i="44" s="1"/>
  <c r="AQ14" i="44" s="1"/>
  <c r="AQ15" i="44" s="1"/>
  <c r="AQ16" i="44" s="1"/>
  <c r="AQ17" i="44" s="1"/>
  <c r="AQ18" i="44" s="1"/>
  <c r="AQ19" i="44" s="1"/>
  <c r="AQ20" i="44" s="1"/>
  <c r="AQ21" i="44" s="1"/>
  <c r="AQ22" i="44" s="1"/>
  <c r="AQ23" i="44" s="1"/>
  <c r="AQ24" i="44" s="1"/>
  <c r="AQ25" i="44" s="1"/>
  <c r="AQ26" i="44" s="1"/>
  <c r="AQ27" i="44" s="1"/>
  <c r="AQ28" i="44" s="1"/>
  <c r="AQ29" i="44" s="1"/>
  <c r="AQ30" i="44" s="1"/>
  <c r="AQ31" i="44" s="1"/>
  <c r="AQ32" i="44" s="1"/>
  <c r="AQ33" i="44" s="1"/>
  <c r="AQ34" i="44" s="1"/>
  <c r="AQ35" i="44" s="1"/>
  <c r="AQ36" i="44" s="1"/>
  <c r="AQ37" i="44" s="1"/>
  <c r="AQ38" i="44" s="1"/>
  <c r="AQ39" i="44" s="1"/>
  <c r="AQ40" i="44" s="1"/>
  <c r="AQ41" i="44" s="1"/>
  <c r="AQ42" i="44" s="1"/>
  <c r="AQ43" i="44" s="1"/>
  <c r="AQ44" i="44" s="1"/>
  <c r="AQ45" i="44" s="1"/>
  <c r="AQ46" i="44" s="1"/>
  <c r="AQ47" i="44" s="1"/>
  <c r="AQ48" i="44" s="1"/>
  <c r="AQ49" i="44" s="1"/>
  <c r="AQ50" i="44" s="1"/>
  <c r="AQ51" i="44" s="1"/>
  <c r="AQ52" i="44" s="1"/>
  <c r="AQ53" i="44" s="1"/>
  <c r="AL99" i="43"/>
  <c r="AL98" i="43"/>
  <c r="AL97" i="43"/>
  <c r="AL96" i="43"/>
  <c r="AL95" i="43"/>
  <c r="AB95" i="43"/>
  <c r="AB94" i="43" l="1"/>
  <c r="AL94" i="43" l="1"/>
  <c r="AL93" i="43"/>
  <c r="AB93" i="43"/>
  <c r="AB92" i="43" l="1"/>
  <c r="AL92" i="43" l="1"/>
  <c r="AB91" i="43"/>
  <c r="AL91" i="43" l="1"/>
  <c r="AB90" i="43"/>
  <c r="AL90" i="43" l="1"/>
  <c r="AB89" i="43"/>
  <c r="AL89" i="43" l="1"/>
  <c r="AB88" i="43"/>
  <c r="AL88" i="43" l="1"/>
  <c r="AB87" i="43"/>
  <c r="AL87" i="43"/>
  <c r="AB86" i="43"/>
  <c r="AL86" i="43" l="1"/>
  <c r="AB85" i="43"/>
  <c r="AL85" i="43" l="1"/>
  <c r="AB84" i="43"/>
  <c r="AL84" i="43" l="1"/>
  <c r="AB83" i="43"/>
  <c r="AL83" i="43" l="1"/>
  <c r="AB82" i="43"/>
  <c r="AL82" i="43" l="1"/>
  <c r="AB81" i="43"/>
  <c r="AL81" i="43" l="1"/>
  <c r="AB80" i="43"/>
  <c r="AL80" i="43" l="1"/>
  <c r="AB79" i="43"/>
  <c r="AL79" i="43" l="1"/>
  <c r="AB78" i="43"/>
  <c r="AL78" i="43" l="1"/>
  <c r="AB77" i="43"/>
  <c r="AL77" i="43" l="1"/>
  <c r="AB76" i="43"/>
  <c r="AL76" i="43" l="1"/>
  <c r="AB75" i="43"/>
  <c r="AL75" i="43" l="1"/>
  <c r="AB74" i="43"/>
  <c r="AL74" i="43" l="1"/>
  <c r="AB73" i="43"/>
  <c r="AL73" i="43" l="1"/>
  <c r="AB72" i="43"/>
  <c r="AL72" i="43" l="1"/>
  <c r="AB71" i="43"/>
  <c r="AL71" i="43" l="1"/>
  <c r="AB70" i="43"/>
  <c r="AL70" i="43" l="1"/>
  <c r="AB69" i="43"/>
  <c r="AL69" i="43" l="1"/>
  <c r="AB68" i="43"/>
  <c r="AL68" i="43" l="1"/>
  <c r="AB67" i="43"/>
  <c r="AL67" i="43" l="1"/>
  <c r="AB66" i="43"/>
  <c r="AL66" i="43" l="1"/>
  <c r="AL65" i="43"/>
  <c r="AB65" i="43"/>
  <c r="AB64" i="43" l="1"/>
  <c r="AL64" i="43" l="1"/>
  <c r="AB63" i="43"/>
  <c r="AL63" i="43" l="1"/>
  <c r="AL62" i="43"/>
  <c r="AB62" i="43"/>
  <c r="AB61" i="43" l="1"/>
  <c r="AL61" i="43" l="1"/>
  <c r="AB60" i="43"/>
  <c r="AL60" i="43" l="1"/>
  <c r="AB59" i="43"/>
  <c r="AL59" i="43" l="1"/>
  <c r="AQ59" i="43" s="1"/>
  <c r="AQ60" i="43" s="1"/>
  <c r="AQ61" i="43" s="1"/>
  <c r="AQ62" i="43" s="1"/>
  <c r="AQ63" i="43" s="1"/>
  <c r="AQ64" i="43" s="1"/>
  <c r="AQ65" i="43" s="1"/>
  <c r="AQ66" i="43" s="1"/>
  <c r="AQ67" i="43" s="1"/>
  <c r="AQ68" i="43" s="1"/>
  <c r="AQ69" i="43" s="1"/>
  <c r="AQ70" i="43" s="1"/>
  <c r="AQ71" i="43" s="1"/>
  <c r="AQ72" i="43" s="1"/>
  <c r="AQ73" i="43" s="1"/>
  <c r="AQ74" i="43" s="1"/>
  <c r="AQ75" i="43" s="1"/>
  <c r="AQ76" i="43" s="1"/>
  <c r="AQ77" i="43" s="1"/>
  <c r="AQ78" i="43" s="1"/>
  <c r="AQ79" i="43" s="1"/>
  <c r="AQ80" i="43" s="1"/>
  <c r="AQ81" i="43" s="1"/>
  <c r="AQ82" i="43" s="1"/>
  <c r="AQ83" i="43" s="1"/>
  <c r="AQ84" i="43" s="1"/>
  <c r="AQ85" i="43" s="1"/>
  <c r="AQ86" i="43" s="1"/>
  <c r="AQ87" i="43" s="1"/>
  <c r="AQ88" i="43" s="1"/>
  <c r="AQ89" i="43" s="1"/>
  <c r="AQ90" i="43" s="1"/>
  <c r="AQ91" i="43" s="1"/>
  <c r="AQ92" i="43" s="1"/>
  <c r="AQ93" i="43" s="1"/>
  <c r="AQ94" i="43" s="1"/>
  <c r="AQ95" i="43" s="1"/>
  <c r="AQ96" i="43" s="1"/>
  <c r="AQ97" i="43" s="1"/>
  <c r="AQ98" i="43" s="1"/>
  <c r="AQ99" i="43" s="1"/>
  <c r="AQ100" i="43" s="1"/>
  <c r="AB58" i="43"/>
  <c r="AL58" i="43" l="1"/>
  <c r="AB57" i="43"/>
  <c r="AL57" i="43" l="1"/>
  <c r="AB56" i="43"/>
  <c r="AL56" i="43" l="1"/>
  <c r="AB55" i="43"/>
  <c r="AL55" i="43" l="1"/>
  <c r="AB54" i="43"/>
  <c r="AL54" i="43" l="1"/>
  <c r="AL53" i="43"/>
  <c r="AB53" i="43"/>
  <c r="AB52" i="43" l="1"/>
  <c r="AL52" i="43" l="1"/>
  <c r="AB51" i="43"/>
  <c r="AL51" i="43" l="1"/>
  <c r="AB50" i="43"/>
  <c r="AL50" i="43" l="1"/>
  <c r="AB49" i="43"/>
  <c r="AL49" i="43" l="1"/>
  <c r="AB48" i="43"/>
  <c r="AL48" i="43" l="1"/>
  <c r="AB47" i="43"/>
  <c r="AL47" i="43" l="1"/>
  <c r="AB46" i="43"/>
  <c r="AL46" i="43" l="1"/>
  <c r="AB45" i="43"/>
  <c r="AL45" i="43" l="1"/>
  <c r="AB44" i="43"/>
  <c r="AL44" i="43" l="1"/>
  <c r="AL43" i="43"/>
  <c r="AB43" i="43"/>
  <c r="AB42" i="43" l="1"/>
  <c r="AL42" i="43" l="1"/>
  <c r="AB41" i="43"/>
  <c r="AL41" i="43" l="1"/>
  <c r="AB40" i="43"/>
  <c r="AL40" i="43" l="1"/>
  <c r="AB39" i="43"/>
  <c r="AL39" i="43" l="1"/>
  <c r="AB38" i="43"/>
  <c r="AL38" i="43" l="1"/>
  <c r="AB37" i="43"/>
  <c r="AL37" i="43" l="1"/>
  <c r="AL36" i="43"/>
  <c r="AL35" i="43"/>
  <c r="AL34" i="43"/>
  <c r="AL33" i="43"/>
  <c r="AL32" i="43"/>
  <c r="AL31" i="43"/>
  <c r="AB30" i="43"/>
  <c r="AL30" i="43" l="1"/>
  <c r="AB29" i="43"/>
  <c r="AL29" i="43" l="1"/>
  <c r="AB28" i="43"/>
  <c r="AL28" i="43" l="1"/>
  <c r="AB27" i="43"/>
  <c r="AL27" i="43" l="1"/>
  <c r="AL26" i="43"/>
  <c r="AL25" i="43"/>
  <c r="AL24" i="43"/>
  <c r="AL23" i="43"/>
  <c r="AL22" i="43"/>
  <c r="AL21" i="43"/>
  <c r="AL20" i="43"/>
  <c r="AL19" i="43"/>
  <c r="AL18" i="43"/>
  <c r="AL17" i="43"/>
  <c r="AL16" i="43"/>
  <c r="AL15" i="43"/>
  <c r="AL14" i="43"/>
  <c r="AL13" i="43"/>
  <c r="AL12" i="43"/>
  <c r="AL11" i="43"/>
  <c r="AL10" i="43"/>
  <c r="AL9" i="43"/>
  <c r="AL8" i="43"/>
  <c r="AL7" i="43"/>
  <c r="AL6" i="43"/>
  <c r="AQ6" i="43" s="1"/>
  <c r="AL5" i="43"/>
  <c r="AQ1048574" i="43"/>
  <c r="AQ7" i="43" l="1"/>
  <c r="AQ8" i="43" s="1"/>
  <c r="AQ9" i="43" s="1"/>
  <c r="AQ10" i="43" s="1"/>
  <c r="AQ11" i="43" s="1"/>
  <c r="AQ12" i="43" s="1"/>
  <c r="AQ13" i="43" s="1"/>
  <c r="AQ14" i="43" s="1"/>
  <c r="AQ15" i="43" s="1"/>
  <c r="AQ16" i="43" s="1"/>
  <c r="AQ17" i="43" s="1"/>
  <c r="AQ18" i="43" s="1"/>
  <c r="AQ19" i="43" s="1"/>
  <c r="AQ20" i="43" s="1"/>
  <c r="AQ21" i="43" s="1"/>
  <c r="AQ22" i="43" s="1"/>
  <c r="AQ23" i="43" s="1"/>
  <c r="AQ24" i="43" s="1"/>
  <c r="AQ25" i="43" s="1"/>
  <c r="AQ26" i="43" s="1"/>
  <c r="AQ27" i="43" s="1"/>
  <c r="AQ28" i="43" s="1"/>
  <c r="AQ29" i="43" s="1"/>
  <c r="AQ30" i="43" s="1"/>
  <c r="AQ31" i="43" s="1"/>
  <c r="AQ32" i="43" s="1"/>
  <c r="AQ33" i="43" s="1"/>
  <c r="AQ34" i="43" s="1"/>
  <c r="AQ35" i="43" s="1"/>
  <c r="AQ36" i="43" s="1"/>
  <c r="AQ37" i="43" s="1"/>
  <c r="AQ38" i="43" s="1"/>
  <c r="AQ39" i="43" s="1"/>
  <c r="AQ40" i="43" s="1"/>
  <c r="AQ41" i="43" s="1"/>
  <c r="AQ42" i="43" s="1"/>
  <c r="AQ43" i="43" s="1"/>
  <c r="AQ44" i="43" s="1"/>
  <c r="AQ45" i="43" s="1"/>
  <c r="AQ46" i="43" s="1"/>
  <c r="AQ47" i="43" s="1"/>
  <c r="AQ48" i="43" s="1"/>
  <c r="AQ49" i="43" s="1"/>
  <c r="AQ50" i="43" s="1"/>
  <c r="AQ51" i="43" s="1"/>
  <c r="AQ52" i="43" s="1"/>
  <c r="AQ53" i="43" s="1"/>
  <c r="AQ54" i="43" s="1"/>
  <c r="AQ55" i="43" s="1"/>
  <c r="AQ56" i="43" s="1"/>
  <c r="AQ57" i="43" s="1"/>
  <c r="AL100" i="42"/>
  <c r="AL99" i="42"/>
  <c r="AL98" i="42"/>
  <c r="AL97" i="42" l="1"/>
  <c r="AL96" i="42"/>
  <c r="AL95" i="42"/>
  <c r="AL94" i="42"/>
  <c r="AL93" i="42"/>
  <c r="AL92" i="42"/>
  <c r="AL91" i="42"/>
  <c r="AL90" i="42"/>
  <c r="AL89" i="42"/>
  <c r="AL88" i="42"/>
  <c r="AL87" i="42"/>
  <c r="AL86" i="42"/>
  <c r="AL85" i="42"/>
  <c r="AL84" i="42"/>
  <c r="AL83" i="42"/>
  <c r="AL82" i="42"/>
  <c r="AL81" i="42"/>
  <c r="AL80" i="42"/>
  <c r="AL79" i="42"/>
  <c r="AL78" i="42"/>
  <c r="AL77" i="42"/>
  <c r="AL76" i="42"/>
  <c r="AL75" i="42"/>
  <c r="AL74" i="42"/>
  <c r="AL73" i="42"/>
  <c r="AL72" i="42"/>
  <c r="AL71" i="42"/>
  <c r="AL70" i="42"/>
  <c r="AL69" i="42"/>
  <c r="AL68" i="42"/>
  <c r="AL67" i="42"/>
  <c r="AL66" i="42"/>
  <c r="AL65" i="42"/>
  <c r="AL64" i="42"/>
  <c r="AB63" i="42"/>
  <c r="AL63" i="42" l="1"/>
  <c r="AB62" i="42"/>
  <c r="AL62" i="42" l="1"/>
  <c r="AB61" i="42"/>
  <c r="AL61" i="42" l="1"/>
  <c r="AB60" i="42"/>
  <c r="AL60" i="42" l="1"/>
  <c r="AB59" i="42"/>
  <c r="AL59" i="42" l="1"/>
  <c r="AB58" i="42"/>
  <c r="AL58" i="42" l="1"/>
  <c r="AB57" i="42"/>
  <c r="AL57" i="42" l="1"/>
  <c r="AB56" i="42"/>
  <c r="AL56" i="42" l="1"/>
  <c r="AB55" i="42"/>
  <c r="AL55" i="42" l="1"/>
  <c r="AB54" i="42"/>
  <c r="AL54" i="42" l="1"/>
  <c r="AB53" i="42"/>
  <c r="AL53" i="42" l="1"/>
  <c r="AB52" i="42"/>
  <c r="AL52" i="42" l="1"/>
  <c r="AB51" i="42"/>
  <c r="AL51" i="42" l="1"/>
  <c r="AB50" i="42"/>
  <c r="AL50" i="42" l="1"/>
  <c r="AB49" i="42"/>
  <c r="AL49" i="42" l="1"/>
  <c r="AL48" i="42"/>
  <c r="AB48" i="42"/>
  <c r="AB47" i="42"/>
  <c r="AL47" i="42" l="1"/>
  <c r="AB46" i="42"/>
  <c r="AL46" i="42" l="1"/>
  <c r="AB45" i="42"/>
  <c r="AL45" i="42" l="1"/>
  <c r="AB44" i="42"/>
  <c r="AL44" i="42" l="1"/>
  <c r="AL43" i="42"/>
  <c r="AB43" i="42"/>
  <c r="AB42" i="42" l="1"/>
  <c r="AL42" i="42" l="1"/>
  <c r="AB41" i="42"/>
  <c r="AL41" i="42" l="1"/>
  <c r="AB40" i="42"/>
  <c r="AL40" i="42" l="1"/>
  <c r="AL39" i="42"/>
  <c r="AB39" i="42"/>
  <c r="AB38" i="42" l="1"/>
  <c r="AL38" i="42" l="1"/>
  <c r="AB37" i="42"/>
  <c r="AL37" i="42" l="1"/>
  <c r="AL36" i="42"/>
  <c r="AB36" i="42"/>
  <c r="AB35" i="42" l="1"/>
  <c r="AL35" i="42" l="1"/>
  <c r="AB34" i="42"/>
  <c r="AL34" i="42" l="1"/>
  <c r="AB33" i="42"/>
  <c r="AL33" i="42" l="1"/>
  <c r="AL32" i="42"/>
  <c r="AB32" i="42"/>
  <c r="AB31" i="42" l="1"/>
  <c r="AL31" i="42" l="1"/>
  <c r="AB30" i="42"/>
  <c r="AL30" i="42" l="1"/>
  <c r="AB29" i="42"/>
  <c r="AL29" i="42" l="1"/>
  <c r="AB28" i="42"/>
  <c r="AL28" i="42" l="1"/>
  <c r="AB27" i="42"/>
  <c r="AL27" i="42" l="1"/>
  <c r="AB26" i="42"/>
  <c r="AL26" i="42" l="1"/>
  <c r="AB25" i="42"/>
  <c r="AL25" i="42" l="1"/>
  <c r="AB24" i="42"/>
  <c r="AL24" i="42" l="1"/>
  <c r="AB23" i="42"/>
  <c r="AL23" i="42" l="1"/>
  <c r="AB22" i="42"/>
  <c r="AL22" i="42" l="1"/>
  <c r="AQ22" i="42" s="1"/>
  <c r="AQ23" i="42" s="1"/>
  <c r="AQ24" i="42" s="1"/>
  <c r="AQ25" i="42" s="1"/>
  <c r="AQ26" i="42" s="1"/>
  <c r="AQ27" i="42" s="1"/>
  <c r="AQ28" i="42" s="1"/>
  <c r="AQ29" i="42" s="1"/>
  <c r="AQ30" i="42" s="1"/>
  <c r="AQ31" i="42" s="1"/>
  <c r="AQ32" i="42" s="1"/>
  <c r="AQ33" i="42" s="1"/>
  <c r="AQ34" i="42" s="1"/>
  <c r="AQ35" i="42" s="1"/>
  <c r="AQ36" i="42" s="1"/>
  <c r="AQ37" i="42" s="1"/>
  <c r="AQ38" i="42" s="1"/>
  <c r="AQ39" i="42" s="1"/>
  <c r="AQ40" i="42" s="1"/>
  <c r="AQ41" i="42" s="1"/>
  <c r="AQ42" i="42" s="1"/>
  <c r="AQ43" i="42" s="1"/>
  <c r="AQ44" i="42" s="1"/>
  <c r="AQ45" i="42" s="1"/>
  <c r="AQ46" i="42" s="1"/>
  <c r="AQ47" i="42" s="1"/>
  <c r="AQ48" i="42" s="1"/>
  <c r="AQ49" i="42" s="1"/>
  <c r="AQ50" i="42" s="1"/>
  <c r="AQ51" i="42" s="1"/>
  <c r="AQ52" i="42" s="1"/>
  <c r="AQ53" i="42" s="1"/>
  <c r="AQ54" i="42" s="1"/>
  <c r="AQ55" i="42" s="1"/>
  <c r="AQ56" i="42" s="1"/>
  <c r="AQ57" i="42" s="1"/>
  <c r="AQ58" i="42" s="1"/>
  <c r="AQ59" i="42" s="1"/>
  <c r="AQ60" i="42" s="1"/>
  <c r="AQ61" i="42" s="1"/>
  <c r="AQ62" i="42" s="1"/>
  <c r="AQ63" i="42" s="1"/>
  <c r="AQ64" i="42" s="1"/>
  <c r="AQ65" i="42" s="1"/>
  <c r="AQ66" i="42" s="1"/>
  <c r="AQ67" i="42" s="1"/>
  <c r="AQ68" i="42" s="1"/>
  <c r="AQ69" i="42" s="1"/>
  <c r="AQ70" i="42" s="1"/>
  <c r="AQ71" i="42" s="1"/>
  <c r="AQ72" i="42" s="1"/>
  <c r="AQ73" i="42" s="1"/>
  <c r="AQ74" i="42" s="1"/>
  <c r="AQ75" i="42" s="1"/>
  <c r="AQ76" i="42" s="1"/>
  <c r="AQ77" i="42" s="1"/>
  <c r="AQ78" i="42" s="1"/>
  <c r="AQ79" i="42" s="1"/>
  <c r="AQ80" i="42" s="1"/>
  <c r="AQ81" i="42" s="1"/>
  <c r="AQ82" i="42" s="1"/>
  <c r="AQ83" i="42" s="1"/>
  <c r="AQ84" i="42" s="1"/>
  <c r="AQ85" i="42" s="1"/>
  <c r="AQ86" i="42" s="1"/>
  <c r="AQ87" i="42" s="1"/>
  <c r="AQ88" i="42" s="1"/>
  <c r="AQ89" i="42" s="1"/>
  <c r="AQ90" i="42" s="1"/>
  <c r="AQ91" i="42" s="1"/>
  <c r="AQ92" i="42" s="1"/>
  <c r="AQ93" i="42" s="1"/>
  <c r="AQ94" i="42" s="1"/>
  <c r="AQ95" i="42" s="1"/>
  <c r="AQ96" i="42" s="1"/>
  <c r="AQ97" i="42" s="1"/>
  <c r="AQ98" i="42" s="1"/>
  <c r="AQ99" i="42" s="1"/>
  <c r="AQ100" i="42" s="1"/>
  <c r="AB21" i="42"/>
  <c r="AL21" i="42" l="1"/>
  <c r="AB20" i="42"/>
  <c r="AL20" i="42" l="1"/>
  <c r="AB19" i="42"/>
  <c r="AL19" i="42" l="1"/>
  <c r="AB18" i="42"/>
  <c r="AL18" i="42" l="1"/>
  <c r="AB17" i="42"/>
  <c r="AL17" i="42" l="1"/>
  <c r="AB16" i="42"/>
  <c r="AL16" i="42" l="1"/>
  <c r="AB15" i="42"/>
  <c r="AB14" i="42"/>
  <c r="AL15" i="42" l="1"/>
  <c r="AL14" i="42"/>
  <c r="AL10" i="42"/>
  <c r="AL11" i="42"/>
  <c r="AL12" i="42"/>
  <c r="AL13" i="42"/>
  <c r="AL9" i="42"/>
  <c r="AL8" i="42"/>
  <c r="AL7" i="42"/>
  <c r="AQ6" i="42"/>
  <c r="AL5" i="42"/>
  <c r="AQ1048574" i="42"/>
  <c r="AQ7" i="42" l="1"/>
  <c r="AQ8" i="42" s="1"/>
  <c r="AQ9" i="42" s="1"/>
  <c r="AQ10" i="42" s="1"/>
  <c r="AQ11" i="42" s="1"/>
  <c r="AQ12" i="42" s="1"/>
  <c r="AQ13" i="42" s="1"/>
  <c r="AQ14" i="42" s="1"/>
  <c r="AQ15" i="42" s="1"/>
  <c r="AQ16" i="42" s="1"/>
  <c r="AQ17" i="42" s="1"/>
  <c r="AQ18" i="42" s="1"/>
  <c r="AQ19" i="42" s="1"/>
  <c r="AQ20" i="42" s="1"/>
  <c r="AL100" i="41"/>
  <c r="AL99" i="41"/>
  <c r="AL98" i="41"/>
  <c r="AL97" i="41"/>
  <c r="AL96" i="41"/>
  <c r="AL95" i="41"/>
  <c r="AL94" i="41"/>
  <c r="AL93" i="41"/>
  <c r="AL92" i="41"/>
  <c r="AL91" i="41"/>
  <c r="AL90" i="41"/>
  <c r="AL89" i="41"/>
  <c r="AL88" i="41"/>
  <c r="AL87" i="41"/>
  <c r="AL86" i="41"/>
  <c r="AL85" i="41"/>
  <c r="AL84" i="41"/>
  <c r="AL83" i="41"/>
  <c r="AL82" i="41"/>
  <c r="AL81" i="41"/>
  <c r="AL80" i="41"/>
  <c r="AL79" i="41"/>
  <c r="AL78" i="41"/>
  <c r="AL77" i="41"/>
  <c r="AL76" i="41"/>
  <c r="AL75" i="41"/>
  <c r="AL74" i="41"/>
  <c r="AL73" i="41"/>
  <c r="AL72" i="41"/>
  <c r="AL71" i="41"/>
  <c r="AL70" i="41"/>
  <c r="AL69" i="41"/>
  <c r="AL68" i="41"/>
  <c r="AL67" i="41"/>
  <c r="AL66" i="41"/>
  <c r="AL65" i="41"/>
  <c r="AL64" i="41"/>
  <c r="AL63" i="41"/>
  <c r="AL62" i="41"/>
  <c r="AL61" i="41"/>
  <c r="AL60" i="41"/>
  <c r="AL59" i="41"/>
  <c r="AL58" i="41"/>
  <c r="AL57" i="41"/>
  <c r="AL56" i="41"/>
  <c r="AL55" i="41"/>
  <c r="AL54" i="41"/>
  <c r="AL53" i="41"/>
  <c r="AL52" i="41"/>
  <c r="AL51" i="41"/>
  <c r="AB50" i="41"/>
  <c r="AL50" i="41" l="1"/>
  <c r="AB49" i="41"/>
  <c r="AL49" i="41" l="1"/>
  <c r="AL48" i="41"/>
  <c r="AL47" i="41"/>
  <c r="AB46" i="41"/>
  <c r="AL46" i="41" l="1"/>
  <c r="AL45" i="41"/>
  <c r="AB45" i="41"/>
  <c r="AB44" i="41" l="1"/>
  <c r="AL44" i="41" l="1"/>
  <c r="AB43" i="41"/>
  <c r="AL43" i="41" l="1"/>
  <c r="AB42" i="41"/>
  <c r="AL42" i="41" l="1"/>
  <c r="AB41" i="41"/>
  <c r="AL41" i="41" l="1"/>
  <c r="AL40" i="41"/>
  <c r="AL39" i="41"/>
  <c r="AL38" i="41"/>
  <c r="AL37" i="41"/>
  <c r="AL36" i="41"/>
  <c r="AL35" i="41"/>
  <c r="AL34" i="41"/>
  <c r="AL33" i="41"/>
  <c r="AL32" i="41"/>
  <c r="AL31" i="41"/>
  <c r="AL30" i="41"/>
  <c r="AL29" i="41"/>
  <c r="AL28" i="41"/>
  <c r="AL27" i="41"/>
  <c r="AL26" i="41"/>
  <c r="AL25" i="41"/>
  <c r="AL24" i="41"/>
  <c r="AL23" i="41"/>
  <c r="AL22" i="41"/>
  <c r="AL21" i="41"/>
  <c r="AL20" i="41"/>
  <c r="AL19" i="41"/>
  <c r="AL18" i="41"/>
  <c r="AL17" i="41"/>
  <c r="AL16" i="41"/>
  <c r="AL15" i="41"/>
  <c r="AL14" i="41"/>
  <c r="AL13" i="41"/>
  <c r="AL12" i="41"/>
  <c r="AL11" i="41"/>
  <c r="AL10" i="41"/>
  <c r="AL9" i="41"/>
  <c r="AL8" i="41"/>
  <c r="AL7" i="41"/>
  <c r="AL6" i="41"/>
  <c r="AQ6" i="41" s="1"/>
  <c r="AQ7" i="41" l="1"/>
  <c r="AQ8" i="41" s="1"/>
  <c r="AQ9" i="41" s="1"/>
  <c r="AQ10" i="41" s="1"/>
  <c r="AQ11" i="41" s="1"/>
  <c r="AQ12" i="41" s="1"/>
  <c r="AQ13" i="41" s="1"/>
  <c r="AQ14" i="41" s="1"/>
  <c r="AQ15" i="41" s="1"/>
  <c r="AQ16" i="41" s="1"/>
  <c r="AQ17" i="41" s="1"/>
  <c r="AQ18" i="41" s="1"/>
  <c r="AQ19" i="41" s="1"/>
  <c r="AQ20" i="41" s="1"/>
  <c r="AQ21" i="41" s="1"/>
  <c r="AQ22" i="41" s="1"/>
  <c r="AQ23" i="41" s="1"/>
  <c r="AQ24" i="41" s="1"/>
  <c r="AQ25" i="41" s="1"/>
  <c r="AQ26" i="41" s="1"/>
  <c r="AQ27" i="41" s="1"/>
  <c r="AQ28" i="41" s="1"/>
  <c r="AQ29" i="41" s="1"/>
  <c r="AQ30" i="41" s="1"/>
  <c r="AQ31" i="41" s="1"/>
  <c r="AQ32" i="41" s="1"/>
  <c r="AQ33" i="41" s="1"/>
  <c r="AQ34" i="41" s="1"/>
  <c r="AQ35" i="41" s="1"/>
  <c r="AQ36" i="41" s="1"/>
  <c r="AQ37" i="41" s="1"/>
  <c r="AQ38" i="41" s="1"/>
  <c r="AQ39" i="41" s="1"/>
  <c r="AQ40" i="41" s="1"/>
  <c r="AQ41" i="41" s="1"/>
  <c r="AQ42" i="41" s="1"/>
  <c r="AQ43" i="41" s="1"/>
  <c r="AQ44" i="41" s="1"/>
  <c r="AQ45" i="41" s="1"/>
  <c r="AQ46" i="41" s="1"/>
  <c r="AQ47" i="41" s="1"/>
  <c r="AQ48" i="41" s="1"/>
  <c r="AQ49" i="41" s="1"/>
  <c r="AQ50" i="41" s="1"/>
  <c r="AQ51" i="41" s="1"/>
  <c r="AQ52" i="41" s="1"/>
  <c r="AQ53" i="41" s="1"/>
  <c r="AQ54" i="41" s="1"/>
  <c r="AQ55" i="41" s="1"/>
  <c r="AQ56" i="41" s="1"/>
  <c r="AQ57" i="41" s="1"/>
  <c r="AQ58" i="41" s="1"/>
  <c r="AQ59" i="41" s="1"/>
  <c r="AQ60" i="41" s="1"/>
  <c r="AQ61" i="41" s="1"/>
  <c r="AQ62" i="41" s="1"/>
  <c r="AQ63" i="41" s="1"/>
  <c r="AQ64" i="41" s="1"/>
  <c r="AQ65" i="41" s="1"/>
  <c r="AQ66" i="41" s="1"/>
  <c r="AQ67" i="41" s="1"/>
  <c r="AQ68" i="41" s="1"/>
  <c r="AQ69" i="41" s="1"/>
  <c r="AQ70" i="41" s="1"/>
  <c r="AQ71" i="41" s="1"/>
  <c r="AQ72" i="41" s="1"/>
  <c r="AQ73" i="41" s="1"/>
  <c r="AQ74" i="41" s="1"/>
  <c r="AQ75" i="41" s="1"/>
  <c r="AQ76" i="41" s="1"/>
  <c r="AQ77" i="41" s="1"/>
  <c r="AQ78" i="41" s="1"/>
  <c r="AQ79" i="41" s="1"/>
  <c r="AQ80" i="41" s="1"/>
  <c r="AQ81" i="41" s="1"/>
  <c r="AQ82" i="41" s="1"/>
  <c r="AQ83" i="41" s="1"/>
  <c r="AQ84" i="41" s="1"/>
  <c r="AQ85" i="41" s="1"/>
  <c r="AQ86" i="41" s="1"/>
  <c r="AQ87" i="41" s="1"/>
  <c r="AQ88" i="41" s="1"/>
  <c r="AQ89" i="41" s="1"/>
  <c r="AQ90" i="41" s="1"/>
  <c r="AQ91" i="41" s="1"/>
  <c r="AQ92" i="41" s="1"/>
  <c r="AQ93" i="41" s="1"/>
  <c r="AQ94" i="41" s="1"/>
  <c r="AQ95" i="41" s="1"/>
  <c r="AQ96" i="41" s="1"/>
  <c r="AQ97" i="41" s="1"/>
  <c r="AQ98" i="41" s="1"/>
  <c r="AQ99" i="41" s="1"/>
  <c r="AQ100" i="41" s="1"/>
  <c r="AQ1048574" i="4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easyyang</author>
    <author>陳志源</author>
  </authors>
  <commentList>
    <comment ref="M3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ID Name
A PARTLY CLOUDY
B BLUE SKY
C CLOUDY DETACHED OPENING CLOUDS
D DRIZZLE
E WET AIR WITH RAIN FALLING
F FOG
G GLOOMY
H HAIL
L LIGHTNING
M MIST (USA DAMP HAZE)
O OVERCAST
P PASSING SHOWERS OR SHOWERS
Q SQUALLS
R RAIN
S SNOW
T THUNDER
U UGLY WEATHER
V UNUSUAL VISIBLITY
W DEW
X HOAR FROST
Z HAZE</t>
        </r>
      </text>
    </comment>
    <comment ref="N3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 xml:space="preserve">ID Name
0 N
1 NNE
2 NE
4 E
3 ENE
5 ESE
6 SE
7 SSE
8 S
9 SSW
10 SW
11 WSW
12 W
13 WNW
14 NW
15 NNW
</t>
        </r>
      </text>
    </comment>
    <comment ref="O3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 xml:space="preserve">ID Name
0 &lt; 1 Knots
1 1-3 Knots
2 4-6 Knots
3 7-10 Knots
4 11-16 Knots
5 17-21 Knots
6 22-27 Knots
7 28-33 Knots
8 34-40 Knots
9 41-47 Knots
10 48-55 Knots
11 56-63 Knots
12 64-71 Knots
13 72-80 Knots
14 81-89 Knots
15 90-99 Knots
16 100-108 Knots
17 109-118 Knots
</t>
        </r>
      </text>
    </comment>
    <comment ref="P3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 xml:space="preserve">ID Name
0 CALM
1 VERY SMOOTH SEA
2 SMOOTH SEA
3 SLIGHT SEA
4 MODERATE SEA
5 RATHER ROUGH SEA
6 ROUGH SEA
7 HIGH SEA
8 VERY HIGH SEA
9 PHENOMENAL  SEA
</t>
        </r>
      </text>
    </comment>
    <comment ref="Q3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 xml:space="preserve">ID Name
0 NO SWELL
1 SLIGHT SWELL
2 MODERATE SWELL
3 RATHER ROUTH SWELL
4 ROUGH SWELL
5 HEAVY SWELL
6 VERY HEAVY SWELL
7 ABNORMAL SWELL
8 CONFUSED SWELL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C3" authorId="1" shapeId="0" xr:uid="{00000000-0006-0000-0000-000006000000}">
      <text>
        <r>
          <rPr>
            <b/>
            <sz val="9"/>
            <color indexed="81"/>
            <rFont val="細明體"/>
            <family val="3"/>
            <charset val="136"/>
          </rPr>
          <t>FP-Father DG Port
FS-Father DG Starboard
AP-Aux. DG Port
AS-Aux. DG Starboard
HB-Harbor DG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easyyang</author>
    <author>陳志源</author>
  </authors>
  <commentList>
    <comment ref="M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ID Name
A PARTLY CLOUDY
B BLUE SKY
C CLOUDY DETACHED OPENING CLOUDS
D DRIZZLE
E WET AIR WITH RAIN FALLING
F FOG
G GLOOMY
H HAIL
L LIGHTNING
M MIST (USA DAMP HAZE)
O OVERCAST
P PASSING SHOWERS OR SHOWERS
Q SQUALLS
R RAIN
S SNOW
T THUNDER
U UGLY WEATHER
V UNUSUAL VISIBLITY
W DEW
X HOAR FROST
Z HAZE</t>
        </r>
      </text>
    </comment>
    <comment ref="N3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 xml:space="preserve">ID Name
0 N
1 NNE
2 NE
4 E
3 ENE
5 ESE
6 SE
7 SSE
8 S
9 SSW
10 SW
11 WSW
12 W
13 WNW
14 NW
15 NNW
</t>
        </r>
      </text>
    </comment>
    <comment ref="O3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 xml:space="preserve">ID Name
0 &lt; 1 Knots
1 1-3 Knots
2 4-6 Knots
3 7-10 Knots
4 11-16 Knots
5 17-21 Knots
6 22-27 Knots
7 28-33 Knots
8 34-40 Knots
9 41-47 Knots
10 48-55 Knots
11 56-63 Knots
12 64-71 Knots
13 72-80 Knots
14 81-89 Knots
15 90-99 Knots
16 100-108 Knots
17 109-118 Knots
</t>
        </r>
      </text>
    </comment>
    <comment ref="P3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 xml:space="preserve">ID Name
0 CALM
1 VERY SMOOTH SEA
2 SMOOTH SEA
3 SLIGHT SEA
4 MODERATE SEA
5 RATHER ROUGH SEA
6 ROUGH SEA
7 HIGH SEA
8 VERY HIGH SEA
9 PHENOMENAL  SEA
</t>
        </r>
      </text>
    </comment>
    <comment ref="Q3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 xml:space="preserve">ID Name
0 NO SWELL
1 SLIGHT SWELL
2 MODERATE SWELL
3 RATHER ROUTH SWELL
4 ROUGH SWELL
5 HEAVY SWELL
6 VERY HEAVY SWELL
7 ABNORMAL SWELL
8 CONFUSED SWELL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C3" authorId="1" shapeId="0" xr:uid="{00000000-0006-0000-0100-000006000000}">
      <text>
        <r>
          <rPr>
            <b/>
            <sz val="9"/>
            <color indexed="81"/>
            <rFont val="細明體"/>
            <family val="3"/>
            <charset val="136"/>
          </rPr>
          <t>FP-Father DG Port
FS-Father DG Starboard
AP-Aux. DG Port
AS-Aux. DG Starboard
HB-Harbor DG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easyyang</author>
    <author>陳志源</author>
  </authors>
  <commentList>
    <comment ref="M3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ID Name
A PARTLY CLOUDY
B BLUE SKY
C CLOUDY DETACHED OPENING CLOUDS
D DRIZZLE
E WET AIR WITH RAIN FALLING
F FOG
G GLOOMY
H HAIL
L LIGHTNING
M MIST (USA DAMP HAZE)
O OVERCAST
P PASSING SHOWERS OR SHOWERS
Q SQUALLS
R RAIN
S SNOW
T THUNDER
U UGLY WEATHER
V UNUSUAL VISIBLITY
W DEW
X HOAR FROST
Z HAZE</t>
        </r>
      </text>
    </comment>
    <comment ref="N3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 xml:space="preserve">ID Name
0 N
1 NNE
2 NE
4 E
3 ENE
5 ESE
6 SE
7 SSE
8 S
9 SSW
10 SW
11 WSW
12 W
13 WNW
14 NW
15 NNW
</t>
        </r>
      </text>
    </comment>
    <comment ref="O3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 xml:space="preserve">ID Name
0 &lt; 1 Knots
1 1-3 Knots
2 4-6 Knots
3 7-10 Knots
4 11-16 Knots
5 17-21 Knots
6 22-27 Knots
7 28-33 Knots
8 34-40 Knots
9 41-47 Knots
10 48-55 Knots
11 56-63 Knots
12 64-71 Knots
13 72-80 Knots
14 81-89 Knots
15 90-99 Knots
16 100-108 Knots
17 109-118 Knots
</t>
        </r>
      </text>
    </comment>
    <comment ref="P3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 xml:space="preserve">ID Name
0 CALM
1 VERY SMOOTH SEA
2 SMOOTH SEA
3 SLIGHT SEA
4 MODERATE SEA
5 RATHER ROUGH SEA
6 ROUGH SEA
7 HIGH SEA
8 VERY HIGH SEA
9 PHENOMENAL  SEA
</t>
        </r>
      </text>
    </comment>
    <comment ref="Q3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 xml:space="preserve">ID Name
0 NO SWELL
1 SLIGHT SWELL
2 MODERATE SWELL
3 RATHER ROUTH SWELL
4 ROUGH SWELL
5 HEAVY SWELL
6 VERY HEAVY SWELL
7 ABNORMAL SWELL
8 CONFUSED SWELL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C3" authorId="1" shapeId="0" xr:uid="{00000000-0006-0000-0200-000006000000}">
      <text>
        <r>
          <rPr>
            <b/>
            <sz val="9"/>
            <color indexed="81"/>
            <rFont val="細明體"/>
            <family val="3"/>
            <charset val="136"/>
          </rPr>
          <t>FP-Father DG Port
FS-Father DG Starboard
AP-Aux. DG Port
AS-Aux. DG Starboard
HB-Harbor DG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easyyang</author>
    <author>陳志源</author>
  </authors>
  <commentList>
    <comment ref="M3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ID Name
A PARTLY CLOUDY
B BLUE SKY
C CLOUDY DETACHED OPENING CLOUDS
D DRIZZLE
E WET AIR WITH RAIN FALLING
F FOG
G GLOOMY
H HAIL
L LIGHTNING
M MIST (USA DAMP HAZE)
O OVERCAST
P PASSING SHOWERS OR SHOWERS
Q SQUALLS
R RAIN
S SNOW
T THUNDER
U UGLY WEATHER
V UNUSUAL VISIBLITY
W DEW
X HOAR FROST
Z HAZE</t>
        </r>
      </text>
    </comment>
    <comment ref="N3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 xml:space="preserve">ID Name
0 N
1 NNE
2 NE
4 E
3 ENE
5 ESE
6 SE
7 SSE
8 S
9 SSW
10 SW
11 WSW
12 W
13 WNW
14 NW
15 NNW
</t>
        </r>
      </text>
    </comment>
    <comment ref="O3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 xml:space="preserve">ID Name
0 &lt; 1 Knots
1 1-3 Knots
2 4-6 Knots
3 7-10 Knots
4 11-16 Knots
5 17-21 Knots
6 22-27 Knots
7 28-33 Knots
8 34-40 Knots
9 41-47 Knots
10 48-55 Knots
11 56-63 Knots
12 64-71 Knots
13 72-80 Knots
14 81-89 Knots
15 90-99 Knots
16 100-108 Knots
17 109-118 Knots
</t>
        </r>
      </text>
    </comment>
    <comment ref="P3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 xml:space="preserve">ID Name
0 CALM
1 VERY SMOOTH SEA
2 SMOOTH SEA
3 SLIGHT SEA
4 MODERATE SEA
5 RATHER ROUGH SEA
6 ROUGH SEA
7 HIGH SEA
8 VERY HIGH SEA
9 PHENOMENAL  SEA
</t>
        </r>
      </text>
    </comment>
    <comment ref="Q3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 xml:space="preserve">ID Name
0 NO SWELL
1 SLIGHT SWELL
2 MODERATE SWELL
3 RATHER ROUTH SWELL
4 ROUGH SWELL
5 HEAVY SWELL
6 VERY HEAVY SWELL
7 ABNORMAL SWELL
8 CONFUSED SWELL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C3" authorId="1" shapeId="0" xr:uid="{00000000-0006-0000-0300-000006000000}">
      <text>
        <r>
          <rPr>
            <b/>
            <sz val="9"/>
            <color indexed="81"/>
            <rFont val="細明體"/>
            <family val="3"/>
            <charset val="136"/>
          </rPr>
          <t>FP-Father DG Port
FS-Father DG Starboard
AP-Aux. DG Port
AS-Aux. DG Starboard
HB-Harbor DG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easyyang</author>
    <author>陳志源</author>
  </authors>
  <commentList>
    <comment ref="M3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ID Name
A PARTLY CLOUDY
B BLUE SKY
C CLOUDY DETACHED OPENING CLOUDS
D DRIZZLE
E WET AIR WITH RAIN FALLING
F FOG
G GLOOMY
H HAIL
L LIGHTNING
M MIST (USA DAMP HAZE)
O OVERCAST
P PASSING SHOWERS OR SHOWERS
Q SQUALLS
R RAIN
S SNOW
T THUNDER
U UGLY WEATHER
V UNUSUAL VISIBLITY
W DEW
X HOAR FROST
Z HAZE</t>
        </r>
      </text>
    </comment>
    <comment ref="N3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 xml:space="preserve">ID Name
0 N
1 NNE
2 NE
4 E
3 ENE
5 ESE
6 SE
7 SSE
8 S
9 SSW
10 SW
11 WSW
12 W
13 WNW
14 NW
15 NNW
</t>
        </r>
      </text>
    </comment>
    <comment ref="O3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 xml:space="preserve">ID Name
0 &lt; 1 Knots
1 1-3 Knots
2 4-6 Knots
3 7-10 Knots
4 11-16 Knots
5 17-21 Knots
6 22-27 Knots
7 28-33 Knots
8 34-40 Knots
9 41-47 Knots
10 48-55 Knots
11 56-63 Knots
12 64-71 Knots
13 72-80 Knots
14 81-89 Knots
15 90-99 Knots
16 100-108 Knots
17 109-118 Knots
</t>
        </r>
      </text>
    </comment>
    <comment ref="P3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 xml:space="preserve">ID Name
0 CALM
1 VERY SMOOTH SEA
2 SMOOTH SEA
3 SLIGHT SEA
4 MODERATE SEA
5 RATHER ROUGH SEA
6 ROUGH SEA
7 HIGH SEA
8 VERY HIGH SEA
9 PHENOMENAL  SEA
</t>
        </r>
      </text>
    </comment>
    <comment ref="Q3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 xml:space="preserve">ID Name
0 NO SWELL
1 SLIGHT SWELL
2 MODERATE SWELL
3 RATHER ROUTH SWELL
4 ROUGH SWELL
5 HEAVY SWELL
6 VERY HEAVY SWELL
7 ABNORMAL SWELL
8 CONFUSED SWELL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C3" authorId="1" shapeId="0" xr:uid="{00000000-0006-0000-0400-000006000000}">
      <text>
        <r>
          <rPr>
            <b/>
            <sz val="9"/>
            <color indexed="81"/>
            <rFont val="細明體"/>
            <family val="3"/>
            <charset val="136"/>
          </rPr>
          <t>FP-Father DG Port
FS-Father DG Starboard
AP-Aux. DG Port
AS-Aux. DG Starboard
HB-Harbor DG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<sst xmlns="http://schemas.openxmlformats.org/spreadsheetml/2006/main" count="5148" uniqueCount="1175">
  <si>
    <t>Voyage</t>
    <phoneticPr fontId="3" type="noConversion"/>
  </si>
  <si>
    <t>Position at Noon</t>
    <phoneticPr fontId="3" type="noConversion"/>
  </si>
  <si>
    <t>A.E.</t>
    <phoneticPr fontId="3" type="noConversion"/>
  </si>
  <si>
    <t>M.D.O.</t>
    <phoneticPr fontId="3" type="noConversion"/>
  </si>
  <si>
    <t>M.D.O.
Sulfur %</t>
    <phoneticPr fontId="3" type="noConversion"/>
  </si>
  <si>
    <t xml:space="preserve">L.S. 
M.D.O </t>
    <phoneticPr fontId="3" type="noConversion"/>
  </si>
  <si>
    <t>L.S. MDO  
Sulfur %</t>
    <phoneticPr fontId="3" type="noConversion"/>
  </si>
  <si>
    <t xml:space="preserve">Ballast (M.T.)                  </t>
    <phoneticPr fontId="3" type="noConversion"/>
  </si>
  <si>
    <t>Minute</t>
    <phoneticPr fontId="3" type="noConversion"/>
  </si>
  <si>
    <t>Wind Direction</t>
    <phoneticPr fontId="3" type="noConversion"/>
  </si>
  <si>
    <t>Sea</t>
    <phoneticPr fontId="3" type="noConversion"/>
  </si>
  <si>
    <t>Total</t>
    <phoneticPr fontId="3" type="noConversion"/>
  </si>
  <si>
    <t>E/W</t>
    <phoneticPr fontId="3" type="noConversion"/>
  </si>
  <si>
    <t>Longitude</t>
    <phoneticPr fontId="3" type="noConversion"/>
  </si>
  <si>
    <t>Ship Name</t>
    <phoneticPr fontId="3" type="noConversion"/>
  </si>
  <si>
    <t>Weather</t>
    <phoneticPr fontId="3" type="noConversion"/>
  </si>
  <si>
    <t>Swell</t>
    <phoneticPr fontId="3" type="noConversion"/>
  </si>
  <si>
    <t>Degree</t>
    <phoneticPr fontId="3" type="noConversion"/>
  </si>
  <si>
    <t>N/S</t>
    <phoneticPr fontId="3" type="noConversion"/>
  </si>
  <si>
    <t>Draught</t>
    <phoneticPr fontId="3" type="noConversion"/>
  </si>
  <si>
    <t>Distance                                                                                                                                                                                                                      (Miles)</t>
    <phoneticPr fontId="3" type="noConversion"/>
  </si>
  <si>
    <t>Latitude</t>
    <phoneticPr fontId="3" type="noConversion"/>
  </si>
  <si>
    <t>Wind Scale</t>
    <phoneticPr fontId="3" type="noConversion"/>
  </si>
  <si>
    <t>Fore</t>
    <phoneticPr fontId="3" type="noConversion"/>
  </si>
  <si>
    <t>Aft</t>
    <phoneticPr fontId="3" type="noConversion"/>
  </si>
  <si>
    <r>
      <t xml:space="preserve">Noon Time 
</t>
    </r>
    <r>
      <rPr>
        <b/>
        <sz val="12"/>
        <color rgb="FFFF0000"/>
        <rFont val="Times New Roman"/>
        <family val="1"/>
      </rPr>
      <t>(UTC)</t>
    </r>
    <phoneticPr fontId="5" type="noConversion"/>
  </si>
  <si>
    <r>
      <t xml:space="preserve">Time Zone </t>
    </r>
    <r>
      <rPr>
        <sz val="10"/>
        <color rgb="FFFF0000"/>
        <rFont val="Times New Roman"/>
        <family val="1"/>
      </rPr>
      <t>(GMT+/-)</t>
    </r>
    <phoneticPr fontId="3" type="noConversion"/>
  </si>
  <si>
    <t>From</t>
    <phoneticPr fontId="5" type="noConversion"/>
  </si>
  <si>
    <t>To</t>
    <phoneticPr fontId="5" type="noConversion"/>
  </si>
  <si>
    <t>Operation</t>
    <phoneticPr fontId="3" type="noConversion"/>
  </si>
  <si>
    <t>Report Total  Consum. ( MGO or MDO)</t>
    <phoneticPr fontId="3" type="noConversion"/>
  </si>
  <si>
    <t>Replenish</t>
    <phoneticPr fontId="3" type="noConversion"/>
  </si>
  <si>
    <t>M.G.O</t>
    <phoneticPr fontId="3" type="noConversion"/>
  </si>
  <si>
    <t>M.G.O.  
Sulfur %</t>
    <phoneticPr fontId="3" type="noConversion"/>
  </si>
  <si>
    <t>R.O.B</t>
    <phoneticPr fontId="3" type="noConversion"/>
  </si>
  <si>
    <t>Remark</t>
    <phoneticPr fontId="3" type="noConversion"/>
  </si>
  <si>
    <t>F.W</t>
    <phoneticPr fontId="3" type="noConversion"/>
  </si>
  <si>
    <t>Hours (per day or per section)</t>
    <phoneticPr fontId="3" type="noConversion"/>
  </si>
  <si>
    <t>N</t>
  </si>
  <si>
    <t>EEOI (g/ton*km)</t>
    <phoneticPr fontId="3" type="noConversion"/>
  </si>
  <si>
    <t>(附錄) 基於營運數據計算能效營運指數(EEOI)</t>
    <phoneticPr fontId="3" type="noConversion"/>
  </si>
  <si>
    <t>一般規定</t>
    <phoneticPr fontId="3" type="noConversion"/>
  </si>
  <si>
    <t>附錄的目的是對基於船舶營運數據的能效營運指數(EEOI)的計算提供指導</t>
    <phoneticPr fontId="3" type="noConversion"/>
  </si>
  <si>
    <t>數據源</t>
    <phoneticPr fontId="3" type="noConversion"/>
  </si>
  <si>
    <t>所選的主要數據源可為船舶航海日誌(駕駛台日誌,輪機日誌,甲板日誌和其他正式紀錄)</t>
    <phoneticPr fontId="3" type="noConversion"/>
  </si>
  <si>
    <t>燃料類型</t>
    <phoneticPr fontId="3" type="noConversion"/>
  </si>
  <si>
    <t>參照</t>
    <phoneticPr fontId="3" type="noConversion"/>
  </si>
  <si>
    <t>碳含量</t>
    <phoneticPr fontId="3" type="noConversion"/>
  </si>
  <si>
    <t>1.柴油/汽油</t>
    <phoneticPr fontId="3" type="noConversion"/>
  </si>
  <si>
    <t>ISO8217DMC 至 DMX級</t>
    <phoneticPr fontId="3" type="noConversion"/>
  </si>
  <si>
    <t>2.輕燃油(LFO)</t>
    <phoneticPr fontId="3" type="noConversion"/>
  </si>
  <si>
    <t>ISO8217RMA 至 RMD級</t>
    <phoneticPr fontId="3" type="noConversion"/>
  </si>
  <si>
    <t>3.重燃油(HFO)</t>
    <phoneticPr fontId="3" type="noConversion"/>
  </si>
  <si>
    <t>ISO8217RME 至 RMK級</t>
    <phoneticPr fontId="3" type="noConversion"/>
  </si>
  <si>
    <t>4.液化石油氣(LPG)</t>
    <phoneticPr fontId="3" type="noConversion"/>
  </si>
  <si>
    <t>丙烷</t>
    <phoneticPr fontId="3" type="noConversion"/>
  </si>
  <si>
    <t>丁烷</t>
    <phoneticPr fontId="3" type="noConversion"/>
  </si>
  <si>
    <t>5.液化天然氣(LNG)</t>
    <phoneticPr fontId="3" type="noConversion"/>
  </si>
  <si>
    <t>EEOI的計算</t>
    <phoneticPr fontId="3" type="noConversion"/>
  </si>
  <si>
    <t>一個航次EEOI的基本表達式為:</t>
    <phoneticPr fontId="3" type="noConversion"/>
  </si>
  <si>
    <t>方程式1</t>
  </si>
  <si>
    <t xml:space="preserve">                        </t>
    <phoneticPr fontId="3" type="noConversion"/>
  </si>
  <si>
    <t>如獲得某段時間或多個航程的指數平均值,指數計算為:</t>
    <phoneticPr fontId="3" type="noConversion"/>
  </si>
  <si>
    <t>方程式2</t>
    <phoneticPr fontId="3" type="noConversion"/>
  </si>
  <si>
    <t>式中</t>
    <phoneticPr fontId="3" type="noConversion"/>
  </si>
  <si>
    <t>*j為燃油類型</t>
    <phoneticPr fontId="3" type="noConversion"/>
  </si>
  <si>
    <t>*i為航程數</t>
    <phoneticPr fontId="3" type="noConversion"/>
  </si>
  <si>
    <t>*D為對應於所載貨物或所做的功的距離(海里)</t>
    <phoneticPr fontId="3" type="noConversion"/>
  </si>
  <si>
    <t>應注意方程式2並不是簡單的對航程i的EEOI值求平均值</t>
    <phoneticPr fontId="3" type="noConversion"/>
  </si>
  <si>
    <t>滾動平均值</t>
    <phoneticPr fontId="3" type="noConversion"/>
  </si>
  <si>
    <t>滾動平均值(如使用)可在一個適當的時間段進行計算,例如最靠近航程結束的1年,或航次數</t>
    <phoneticPr fontId="3" type="noConversion"/>
  </si>
  <si>
    <t>,例如6或10個航次數,其與初始平均週期在統計相關.然後根據上述方程式2計算該週期或航次的滾動平均EEOI.</t>
    <phoneticPr fontId="3" type="noConversion"/>
  </si>
  <si>
    <t>數據</t>
    <phoneticPr fontId="3" type="noConversion"/>
  </si>
  <si>
    <t>對於一個航次或週期,例如一天,燃油消耗/所載貨物和連續航行距離的數據的收集可如下列報告表所示</t>
    <phoneticPr fontId="3" type="noConversion"/>
  </si>
  <si>
    <t>船名和船型</t>
    <phoneticPr fontId="3" type="noConversion"/>
  </si>
  <si>
    <t>航次或天( i )</t>
    <phoneticPr fontId="3" type="noConversion"/>
  </si>
  <si>
    <t>海上和在港燃油消耗量(FC)(噸)</t>
    <phoneticPr fontId="3" type="noConversion"/>
  </si>
  <si>
    <t>航程或時間段數據</t>
    <phoneticPr fontId="3" type="noConversion"/>
  </si>
  <si>
    <t>燃油類型</t>
    <phoneticPr fontId="3" type="noConversion"/>
  </si>
  <si>
    <t>貨物(m)(噸或單位)</t>
    <phoneticPr fontId="3" type="noConversion"/>
  </si>
  <si>
    <t>距離(D)(NM)</t>
    <phoneticPr fontId="3" type="noConversion"/>
  </si>
  <si>
    <t>從g/噸*海里 轉換為 g/噸*公里</t>
    <phoneticPr fontId="3" type="noConversion"/>
  </si>
  <si>
    <t>CO2指數可通過乘以0.54從g/噸*海里 轉換為 g/噸*公里</t>
    <phoneticPr fontId="3" type="noConversion"/>
  </si>
  <si>
    <t>範例</t>
    <phoneticPr fontId="3" type="noConversion"/>
  </si>
  <si>
    <t>以下提供只用於舉例說明的1個簡單範例(包括1次壓載航行),範例基於數據報告表,說明公式的應用</t>
    <phoneticPr fontId="3" type="noConversion"/>
  </si>
  <si>
    <r>
      <t>燃油與CO</t>
    </r>
    <r>
      <rPr>
        <vertAlign val="subscript"/>
        <sz val="12"/>
        <color theme="1"/>
        <rFont val="標楷體"/>
        <family val="4"/>
        <charset val="136"/>
      </rPr>
      <t>2</t>
    </r>
    <r>
      <rPr>
        <sz val="12"/>
        <rFont val="標楷體"/>
        <family val="4"/>
        <charset val="136"/>
      </rPr>
      <t>量轉換係數(C</t>
    </r>
    <r>
      <rPr>
        <vertAlign val="subscript"/>
        <sz val="12"/>
        <color theme="1"/>
        <rFont val="標楷體"/>
        <family val="4"/>
        <charset val="136"/>
      </rPr>
      <t>F</t>
    </r>
    <r>
      <rPr>
        <sz val="12"/>
        <rFont val="標楷體"/>
        <family val="4"/>
        <charset val="136"/>
      </rPr>
      <t>)</t>
    </r>
    <phoneticPr fontId="3" type="noConversion"/>
  </si>
  <si>
    <r>
      <t>C</t>
    </r>
    <r>
      <rPr>
        <vertAlign val="subscript"/>
        <sz val="12"/>
        <color theme="1"/>
        <rFont val="標楷體"/>
        <family val="4"/>
        <charset val="136"/>
      </rPr>
      <t>F</t>
    </r>
    <r>
      <rPr>
        <sz val="12"/>
        <rFont val="標楷體"/>
        <family val="4"/>
        <charset val="136"/>
      </rPr>
      <t>是燃油消耗量(單位g)和基於碳含量的CO</t>
    </r>
    <r>
      <rPr>
        <vertAlign val="subscript"/>
        <sz val="12"/>
        <color theme="1"/>
        <rFont val="標楷體"/>
        <family val="4"/>
        <charset val="136"/>
      </rPr>
      <t>2</t>
    </r>
    <r>
      <rPr>
        <sz val="12"/>
        <rFont val="標楷體"/>
        <family val="4"/>
        <charset val="136"/>
      </rPr>
      <t>排放量(單位g)之間的無量網轉換係數,C</t>
    </r>
    <r>
      <rPr>
        <vertAlign val="subscript"/>
        <sz val="12"/>
        <color theme="1"/>
        <rFont val="標楷體"/>
        <family val="4"/>
        <charset val="136"/>
      </rPr>
      <t>F</t>
    </r>
    <r>
      <rPr>
        <sz val="12"/>
        <rFont val="標楷體"/>
        <family val="4"/>
        <charset val="136"/>
      </rPr>
      <t>值如下:</t>
    </r>
    <phoneticPr fontId="3" type="noConversion"/>
  </si>
  <si>
    <r>
      <t>C</t>
    </r>
    <r>
      <rPr>
        <vertAlign val="subscript"/>
        <sz val="12"/>
        <color theme="1"/>
        <rFont val="標楷體"/>
        <family val="4"/>
        <charset val="136"/>
      </rPr>
      <t>F</t>
    </r>
    <r>
      <rPr>
        <sz val="12"/>
        <rFont val="標楷體"/>
        <family val="4"/>
        <charset val="136"/>
      </rPr>
      <t xml:space="preserve"> (t-CO</t>
    </r>
    <r>
      <rPr>
        <vertAlign val="subscript"/>
        <sz val="12"/>
        <color theme="1"/>
        <rFont val="標楷體"/>
        <family val="4"/>
        <charset val="136"/>
      </rPr>
      <t>2</t>
    </r>
    <r>
      <rPr>
        <sz val="12"/>
        <rFont val="標楷體"/>
        <family val="4"/>
        <charset val="136"/>
      </rPr>
      <t>/t-燃油)</t>
    </r>
    <phoneticPr fontId="3" type="noConversion"/>
  </si>
  <si>
    <r>
      <t>*FC</t>
    </r>
    <r>
      <rPr>
        <vertAlign val="subscript"/>
        <sz val="12"/>
        <color theme="1"/>
        <rFont val="標楷體"/>
        <family val="4"/>
        <charset val="136"/>
      </rPr>
      <t>ij</t>
    </r>
    <r>
      <rPr>
        <sz val="12"/>
        <rFont val="標楷體"/>
        <family val="4"/>
        <charset val="136"/>
      </rPr>
      <t>為在航程i中燃油j的消耗量</t>
    </r>
    <phoneticPr fontId="3" type="noConversion"/>
  </si>
  <si>
    <r>
      <t>*C</t>
    </r>
    <r>
      <rPr>
        <vertAlign val="subscript"/>
        <sz val="12"/>
        <color theme="1"/>
        <rFont val="標楷體"/>
        <family val="4"/>
        <charset val="136"/>
      </rPr>
      <t>Fj</t>
    </r>
    <r>
      <rPr>
        <sz val="12"/>
        <rFont val="標楷體"/>
        <family val="4"/>
        <charset val="136"/>
      </rPr>
      <t>為燃油j的燃油量與CO</t>
    </r>
    <r>
      <rPr>
        <vertAlign val="subscript"/>
        <sz val="12"/>
        <color theme="1"/>
        <rFont val="標楷體"/>
        <family val="4"/>
        <charset val="136"/>
      </rPr>
      <t>2</t>
    </r>
    <r>
      <rPr>
        <sz val="12"/>
        <rFont val="標楷體"/>
        <family val="4"/>
        <charset val="136"/>
      </rPr>
      <t>量轉換係數</t>
    </r>
    <phoneticPr fontId="3" type="noConversion"/>
  </si>
  <si>
    <r>
      <t>*m</t>
    </r>
    <r>
      <rPr>
        <vertAlign val="subscript"/>
        <sz val="12"/>
        <color theme="1"/>
        <rFont val="標楷體"/>
        <family val="4"/>
        <charset val="136"/>
      </rPr>
      <t>貨物</t>
    </r>
    <r>
      <rPr>
        <sz val="12"/>
        <rFont val="標楷體"/>
        <family val="4"/>
        <charset val="136"/>
      </rPr>
      <t>為客船所載貨物(噸)或所做的功(TEU或乘客數量)或總噸;和</t>
    </r>
    <phoneticPr fontId="3" type="noConversion"/>
  </si>
  <si>
    <r>
      <t>EEOI的單位取決於所載貨物或所做的功測量,例如噸CO</t>
    </r>
    <r>
      <rPr>
        <vertAlign val="subscript"/>
        <sz val="12"/>
        <color theme="1"/>
        <rFont val="標楷體"/>
        <family val="4"/>
        <charset val="136"/>
      </rPr>
      <t>2</t>
    </r>
    <r>
      <rPr>
        <sz val="12"/>
        <rFont val="標楷體"/>
        <family val="4"/>
        <charset val="136"/>
      </rPr>
      <t>/(噸*海里), 噸CO</t>
    </r>
    <r>
      <rPr>
        <vertAlign val="subscript"/>
        <sz val="12"/>
        <color theme="1"/>
        <rFont val="標楷體"/>
        <family val="4"/>
        <charset val="136"/>
      </rPr>
      <t>2</t>
    </r>
    <r>
      <rPr>
        <sz val="12"/>
        <rFont val="標楷體"/>
        <family val="4"/>
        <charset val="136"/>
      </rPr>
      <t>/(TEU*海里), 噸CO2/(人*海里) 等</t>
    </r>
    <phoneticPr fontId="3" type="noConversion"/>
  </si>
  <si>
    <r>
      <t>CO</t>
    </r>
    <r>
      <rPr>
        <vertAlign val="subscript"/>
        <sz val="12"/>
        <color theme="1"/>
        <rFont val="標楷體"/>
        <family val="4"/>
        <charset val="136"/>
      </rPr>
      <t>2</t>
    </r>
    <r>
      <rPr>
        <sz val="12"/>
        <rFont val="標楷體"/>
        <family val="4"/>
        <charset val="136"/>
      </rPr>
      <t>指數報告表</t>
    </r>
    <phoneticPr fontId="3" type="noConversion"/>
  </si>
  <si>
    <r>
      <t>注:對於m</t>
    </r>
    <r>
      <rPr>
        <vertAlign val="subscript"/>
        <sz val="12"/>
        <color theme="1"/>
        <rFont val="標楷體"/>
        <family val="4"/>
        <charset val="136"/>
      </rPr>
      <t>貨物</t>
    </r>
    <r>
      <rPr>
        <sz val="12"/>
        <rFont val="標楷體"/>
        <family val="4"/>
        <charset val="136"/>
      </rPr>
      <t>=0 的航次,仍然需要在線上的總和中包括該航次使用的燃油.</t>
    </r>
    <phoneticPr fontId="3" type="noConversion"/>
  </si>
  <si>
    <r>
      <t>單位: 噸CO</t>
    </r>
    <r>
      <rPr>
        <vertAlign val="subscript"/>
        <sz val="12"/>
        <color theme="1"/>
        <rFont val="標楷體"/>
        <family val="4"/>
        <charset val="136"/>
      </rPr>
      <t>2</t>
    </r>
    <r>
      <rPr>
        <sz val="12"/>
        <rFont val="標楷體"/>
        <family val="4"/>
        <charset val="136"/>
      </rPr>
      <t>/ (噸*海里)</t>
    </r>
    <phoneticPr fontId="3" type="noConversion"/>
  </si>
  <si>
    <t>Displacement (M.T.)</t>
    <phoneticPr fontId="3" type="noConversion"/>
  </si>
  <si>
    <t>C</t>
  </si>
  <si>
    <t>Propelling</t>
    <phoneticPr fontId="3" type="noConversion"/>
  </si>
  <si>
    <t>G/E F.O. Consumption (K.L.)</t>
    <phoneticPr fontId="3" type="noConversion"/>
  </si>
  <si>
    <r>
      <t xml:space="preserve"> 
</t>
    </r>
    <r>
      <rPr>
        <b/>
        <u/>
        <sz val="10"/>
        <rFont val="Times New Roman"/>
        <family val="1"/>
      </rPr>
      <t>For Propelling</t>
    </r>
    <r>
      <rPr>
        <sz val="10"/>
        <rFont val="Times New Roman"/>
        <family val="1"/>
      </rPr>
      <t xml:space="preserve">
(MGO or MDO)</t>
    </r>
    <phoneticPr fontId="3" type="noConversion"/>
  </si>
  <si>
    <r>
      <t xml:space="preserve">
</t>
    </r>
    <r>
      <rPr>
        <b/>
        <u/>
        <sz val="10"/>
        <color theme="1"/>
        <rFont val="Arial"/>
        <family val="2"/>
      </rPr>
      <t>For Operation</t>
    </r>
    <r>
      <rPr>
        <sz val="10"/>
        <rFont val="Arial"/>
        <family val="2"/>
      </rPr>
      <t xml:space="preserve">
(MGO or MDO)</t>
    </r>
    <phoneticPr fontId="3" type="noConversion"/>
  </si>
  <si>
    <t xml:space="preserve">No. of G/E       </t>
  </si>
  <si>
    <t>G/E output Kw</t>
  </si>
  <si>
    <t>Propeller RPM</t>
  </si>
  <si>
    <t xml:space="preserve">Propeller Motor Load % </t>
  </si>
  <si>
    <t>Data at Noon(present)</t>
    <phoneticPr fontId="3" type="noConversion"/>
  </si>
  <si>
    <t>In port</t>
    <phoneticPr fontId="3" type="noConversion"/>
  </si>
  <si>
    <t>Anchor</t>
    <phoneticPr fontId="3" type="noConversion"/>
  </si>
  <si>
    <r>
      <t xml:space="preserve">
</t>
    </r>
    <r>
      <rPr>
        <b/>
        <u/>
        <sz val="10"/>
        <rFont val="Times New Roman"/>
        <family val="1"/>
      </rPr>
      <t>For  In Port</t>
    </r>
    <r>
      <rPr>
        <sz val="10"/>
        <rFont val="Times New Roman"/>
        <family val="1"/>
      </rPr>
      <t xml:space="preserve">
(MGO or MDO)</t>
    </r>
    <phoneticPr fontId="3" type="noConversion"/>
  </si>
  <si>
    <r>
      <rPr>
        <b/>
        <u/>
        <sz val="10"/>
        <rFont val="Times New Roman"/>
        <family val="1"/>
      </rPr>
      <t>In Anchor</t>
    </r>
    <r>
      <rPr>
        <sz val="10"/>
        <rFont val="Times New Roman"/>
        <family val="1"/>
      </rPr>
      <t xml:space="preserve">
(MGO or MDO)</t>
    </r>
    <phoneticPr fontId="3" type="noConversion"/>
  </si>
  <si>
    <r>
      <t>TORI DAILY NOON REPORT(</t>
    </r>
    <r>
      <rPr>
        <b/>
        <sz val="22"/>
        <color rgb="FFFF0000"/>
        <rFont val="Times New Roman"/>
        <family val="1"/>
      </rPr>
      <t>V2</t>
    </r>
    <r>
      <rPr>
        <b/>
        <sz val="22"/>
        <color theme="1"/>
        <rFont val="Times New Roman"/>
        <family val="1"/>
      </rPr>
      <t xml:space="preserve">) </t>
    </r>
    <r>
      <rPr>
        <b/>
        <sz val="22"/>
        <color rgb="FFFF0000"/>
        <rFont val="Times New Roman"/>
        <family val="1"/>
      </rPr>
      <t>**Submit this report to</t>
    </r>
    <r>
      <rPr>
        <b/>
        <u/>
        <sz val="22"/>
        <color rgb="FFFF0000"/>
        <rFont val="Times New Roman"/>
        <family val="1"/>
      </rPr>
      <t xml:space="preserve"> 1811022@narlabs.org.tw </t>
    </r>
    <r>
      <rPr>
        <b/>
        <sz val="22"/>
        <color rgb="FFFF0000"/>
        <rFont val="Times New Roman"/>
        <family val="1"/>
      </rPr>
      <t>at noon of every day on a continuous basis**</t>
    </r>
    <phoneticPr fontId="3" type="noConversion"/>
  </si>
  <si>
    <t>Average Speed                      at                             Full speed period                                                (Kts)</t>
    <phoneticPr fontId="3" type="noConversion"/>
  </si>
  <si>
    <t>SHIP SPEED (Kts)</t>
    <phoneticPr fontId="3" type="noConversion"/>
  </si>
  <si>
    <t>#3</t>
    <phoneticPr fontId="42" type="noConversion"/>
  </si>
  <si>
    <t>O</t>
  </si>
  <si>
    <t>C</t>
    <phoneticPr fontId="42" type="noConversion"/>
  </si>
  <si>
    <t>R</t>
  </si>
  <si>
    <t>O</t>
    <phoneticPr fontId="42" type="noConversion"/>
  </si>
  <si>
    <t>80/80</t>
    <phoneticPr fontId="42" type="noConversion"/>
  </si>
  <si>
    <t>#4</t>
    <phoneticPr fontId="42" type="noConversion"/>
  </si>
  <si>
    <t>31/31</t>
    <phoneticPr fontId="42" type="noConversion"/>
  </si>
  <si>
    <t>200/200</t>
    <phoneticPr fontId="42" type="noConversion"/>
  </si>
  <si>
    <t>E</t>
  </si>
  <si>
    <t>R</t>
    <phoneticPr fontId="42" type="noConversion"/>
  </si>
  <si>
    <t>#1#3</t>
    <phoneticPr fontId="42" type="noConversion"/>
  </si>
  <si>
    <t>#2#3</t>
    <phoneticPr fontId="42" type="noConversion"/>
  </si>
  <si>
    <t>#2#4</t>
    <phoneticPr fontId="42" type="noConversion"/>
  </si>
  <si>
    <t>Anping</t>
  </si>
  <si>
    <t>#1#4</t>
    <phoneticPr fontId="42" type="noConversion"/>
  </si>
  <si>
    <t>0 / 0</t>
    <phoneticPr fontId="42" type="noConversion"/>
  </si>
  <si>
    <t>#2 / #3</t>
    <phoneticPr fontId="42" type="noConversion"/>
  </si>
  <si>
    <t>#2 / #4</t>
    <phoneticPr fontId="42" type="noConversion"/>
  </si>
  <si>
    <t>#1 / #3</t>
    <phoneticPr fontId="42" type="noConversion"/>
  </si>
  <si>
    <t>#3 / #4</t>
    <phoneticPr fontId="42" type="noConversion"/>
  </si>
  <si>
    <t>Lengend</t>
  </si>
  <si>
    <t>210 / 210</t>
    <phoneticPr fontId="42" type="noConversion"/>
  </si>
  <si>
    <t>170 / 170</t>
    <phoneticPr fontId="42" type="noConversion"/>
  </si>
  <si>
    <t>200 / 200</t>
    <phoneticPr fontId="42" type="noConversion"/>
  </si>
  <si>
    <t>100/100</t>
    <phoneticPr fontId="42" type="noConversion"/>
  </si>
  <si>
    <t>210/210</t>
    <phoneticPr fontId="42" type="noConversion"/>
  </si>
  <si>
    <t>170/170</t>
    <phoneticPr fontId="42" type="noConversion"/>
  </si>
  <si>
    <t>56/51</t>
    <phoneticPr fontId="42" type="noConversion"/>
  </si>
  <si>
    <t>58/57</t>
    <phoneticPr fontId="42" type="noConversion"/>
  </si>
  <si>
    <t>25/26</t>
    <phoneticPr fontId="42" type="noConversion"/>
  </si>
  <si>
    <t>32/32</t>
    <phoneticPr fontId="42" type="noConversion"/>
  </si>
  <si>
    <t>27/28</t>
    <phoneticPr fontId="42" type="noConversion"/>
  </si>
  <si>
    <t>46 / 47</t>
    <phoneticPr fontId="42" type="noConversion"/>
  </si>
  <si>
    <t>221/221</t>
    <phoneticPr fontId="42" type="noConversion"/>
  </si>
  <si>
    <t>220/220</t>
    <phoneticPr fontId="42" type="noConversion"/>
  </si>
  <si>
    <t>50/50</t>
    <phoneticPr fontId="42" type="noConversion"/>
  </si>
  <si>
    <t>25/27</t>
    <phoneticPr fontId="42" type="noConversion"/>
  </si>
  <si>
    <t>25/25</t>
    <phoneticPr fontId="42" type="noConversion"/>
  </si>
  <si>
    <t>45/45</t>
    <phoneticPr fontId="42" type="noConversion"/>
  </si>
  <si>
    <t>R</t>
    <phoneticPr fontId="42" type="noConversion"/>
  </si>
  <si>
    <t>40/40</t>
    <phoneticPr fontId="42" type="noConversion"/>
  </si>
  <si>
    <t>140/140</t>
    <phoneticPr fontId="42" type="noConversion"/>
  </si>
  <si>
    <t>27/30</t>
    <phoneticPr fontId="42" type="noConversion"/>
  </si>
  <si>
    <t>120/120</t>
    <phoneticPr fontId="42" type="noConversion"/>
  </si>
  <si>
    <t>150/150</t>
    <phoneticPr fontId="42" type="noConversion"/>
  </si>
  <si>
    <t>160 / 160</t>
    <phoneticPr fontId="42" type="noConversion"/>
  </si>
  <si>
    <t>200 / 199</t>
    <phoneticPr fontId="42" type="noConversion"/>
  </si>
  <si>
    <t>29/29</t>
    <phoneticPr fontId="42" type="noConversion"/>
  </si>
  <si>
    <t>R</t>
    <phoneticPr fontId="42" type="noConversion"/>
  </si>
  <si>
    <t>28/28</t>
    <phoneticPr fontId="42" type="noConversion"/>
  </si>
  <si>
    <t>200 / 201</t>
    <phoneticPr fontId="42" type="noConversion"/>
  </si>
  <si>
    <t>209 / 209</t>
    <phoneticPr fontId="42" type="noConversion"/>
  </si>
  <si>
    <t>211 / 210</t>
    <phoneticPr fontId="42" type="noConversion"/>
  </si>
  <si>
    <t>212 / 211</t>
    <phoneticPr fontId="42" type="noConversion"/>
  </si>
  <si>
    <t>210/ 210</t>
    <phoneticPr fontId="42" type="noConversion"/>
  </si>
  <si>
    <t>140/ 140</t>
    <phoneticPr fontId="42" type="noConversion"/>
  </si>
  <si>
    <t>加淡水100頓</t>
    <phoneticPr fontId="42" type="noConversion"/>
  </si>
  <si>
    <t>KHH</t>
    <phoneticPr fontId="42" type="noConversion"/>
  </si>
  <si>
    <t>DOCKING</t>
    <phoneticPr fontId="42" type="noConversion"/>
  </si>
  <si>
    <t>#3#4</t>
    <phoneticPr fontId="42" type="noConversion"/>
  </si>
  <si>
    <t>LGD-2502</t>
    <phoneticPr fontId="42" type="noConversion"/>
  </si>
  <si>
    <t>HUN</t>
    <phoneticPr fontId="42" type="noConversion"/>
  </si>
  <si>
    <t>2025031304:00</t>
    <phoneticPr fontId="42" type="noConversion"/>
  </si>
  <si>
    <t>LGD-2502</t>
  </si>
  <si>
    <t>HUN</t>
  </si>
  <si>
    <t>2025031404:00</t>
    <phoneticPr fontId="42" type="noConversion"/>
  </si>
  <si>
    <t>加淡水150噸</t>
    <phoneticPr fontId="42" type="noConversion"/>
  </si>
  <si>
    <t>2025031504:00</t>
    <phoneticPr fontId="42" type="noConversion"/>
  </si>
  <si>
    <t>2025031604:00</t>
    <phoneticPr fontId="42" type="noConversion"/>
  </si>
  <si>
    <t>2025031704:00</t>
    <phoneticPr fontId="42" type="noConversion"/>
  </si>
  <si>
    <t>97 / 67</t>
    <phoneticPr fontId="42" type="noConversion"/>
  </si>
  <si>
    <t>2025031804:00</t>
    <phoneticPr fontId="42" type="noConversion"/>
  </si>
  <si>
    <t>O</t>
    <phoneticPr fontId="42" type="noConversion"/>
  </si>
  <si>
    <t>470 / 319</t>
    <phoneticPr fontId="42" type="noConversion"/>
  </si>
  <si>
    <t>48 / 48</t>
    <phoneticPr fontId="42" type="noConversion"/>
  </si>
  <si>
    <t>2025031904:00</t>
    <phoneticPr fontId="42" type="noConversion"/>
  </si>
  <si>
    <t>LGD-2503</t>
    <phoneticPr fontId="42" type="noConversion"/>
  </si>
  <si>
    <t>305 / 179</t>
    <phoneticPr fontId="42" type="noConversion"/>
  </si>
  <si>
    <t>151 / 151</t>
    <phoneticPr fontId="42" type="noConversion"/>
  </si>
  <si>
    <t>36 / 37</t>
    <phoneticPr fontId="42" type="noConversion"/>
  </si>
  <si>
    <t>2025032004:00</t>
    <phoneticPr fontId="42" type="noConversion"/>
  </si>
  <si>
    <t>C</t>
    <phoneticPr fontId="42" type="noConversion"/>
  </si>
  <si>
    <t>491 / 322</t>
    <phoneticPr fontId="42" type="noConversion"/>
  </si>
  <si>
    <t>164 / 163</t>
    <phoneticPr fontId="42" type="noConversion"/>
  </si>
  <si>
    <t>40 / 39</t>
    <phoneticPr fontId="42" type="noConversion"/>
  </si>
  <si>
    <t>2025032104:00</t>
    <phoneticPr fontId="42" type="noConversion"/>
  </si>
  <si>
    <t>412 / 274</t>
    <phoneticPr fontId="42" type="noConversion"/>
  </si>
  <si>
    <t>133 / 134</t>
    <phoneticPr fontId="42" type="noConversion"/>
  </si>
  <si>
    <t>32 / 32</t>
    <phoneticPr fontId="42" type="noConversion"/>
  </si>
  <si>
    <t>2025032204:00</t>
    <phoneticPr fontId="42" type="noConversion"/>
  </si>
  <si>
    <t>468 / 261</t>
    <phoneticPr fontId="42" type="noConversion"/>
  </si>
  <si>
    <t>140 / 141</t>
    <phoneticPr fontId="42" type="noConversion"/>
  </si>
  <si>
    <t>33 / 34</t>
    <phoneticPr fontId="42" type="noConversion"/>
  </si>
  <si>
    <t>2025032304:00</t>
    <phoneticPr fontId="42" type="noConversion"/>
  </si>
  <si>
    <t>491 / 339</t>
    <phoneticPr fontId="42" type="noConversion"/>
  </si>
  <si>
    <t>159 / 160</t>
    <phoneticPr fontId="42" type="noConversion"/>
  </si>
  <si>
    <t>38 / 39</t>
    <phoneticPr fontId="42" type="noConversion"/>
  </si>
  <si>
    <t>2025032404:00</t>
    <phoneticPr fontId="42" type="noConversion"/>
  </si>
  <si>
    <t>485 / 267</t>
    <phoneticPr fontId="42" type="noConversion"/>
  </si>
  <si>
    <t>2025032504:00</t>
    <phoneticPr fontId="42" type="noConversion"/>
  </si>
  <si>
    <t>349 / 218</t>
    <phoneticPr fontId="42" type="noConversion"/>
  </si>
  <si>
    <t>2025032604:00</t>
    <phoneticPr fontId="42" type="noConversion"/>
  </si>
  <si>
    <t>2025032704:00</t>
    <phoneticPr fontId="42" type="noConversion"/>
  </si>
  <si>
    <t>337 / 221</t>
    <phoneticPr fontId="42" type="noConversion"/>
  </si>
  <si>
    <t>159 / 158</t>
    <phoneticPr fontId="42" type="noConversion"/>
  </si>
  <si>
    <t>37 / 37</t>
    <phoneticPr fontId="42" type="noConversion"/>
  </si>
  <si>
    <t>2025032804:00</t>
    <phoneticPr fontId="42" type="noConversion"/>
  </si>
  <si>
    <t>298 / 168</t>
    <phoneticPr fontId="42" type="noConversion"/>
  </si>
  <si>
    <t>135 / 135</t>
    <phoneticPr fontId="42" type="noConversion"/>
  </si>
  <si>
    <t>32 / 33</t>
    <phoneticPr fontId="42" type="noConversion"/>
  </si>
  <si>
    <t>2025032904:00</t>
    <phoneticPr fontId="42" type="noConversion"/>
  </si>
  <si>
    <t>383 / 244</t>
    <phoneticPr fontId="42" type="noConversion"/>
  </si>
  <si>
    <t>166 / 165</t>
    <phoneticPr fontId="42" type="noConversion"/>
  </si>
  <si>
    <t>40 / 40</t>
    <phoneticPr fontId="42" type="noConversion"/>
  </si>
  <si>
    <t>2025033004:00</t>
    <phoneticPr fontId="42" type="noConversion"/>
  </si>
  <si>
    <t>474 / 285</t>
    <phoneticPr fontId="42" type="noConversion"/>
  </si>
  <si>
    <t>145 / 144</t>
    <phoneticPr fontId="42" type="noConversion"/>
  </si>
  <si>
    <t>36 / 36</t>
    <phoneticPr fontId="42" type="noConversion"/>
  </si>
  <si>
    <t>2025033104:00</t>
    <phoneticPr fontId="42" type="noConversion"/>
  </si>
  <si>
    <t>187 / 128</t>
    <phoneticPr fontId="42" type="noConversion"/>
  </si>
  <si>
    <t>32 / 39</t>
    <phoneticPr fontId="42" type="noConversion"/>
  </si>
  <si>
    <t>2025040104:00</t>
    <phoneticPr fontId="42" type="noConversion"/>
  </si>
  <si>
    <t>加水中</t>
    <phoneticPr fontId="42" type="noConversion"/>
  </si>
  <si>
    <t>2025040204:00</t>
    <phoneticPr fontId="42" type="noConversion"/>
  </si>
  <si>
    <t>2025040304:00</t>
    <phoneticPr fontId="42" type="noConversion"/>
  </si>
  <si>
    <t>2025040404:00</t>
    <phoneticPr fontId="42" type="noConversion"/>
  </si>
  <si>
    <t>2025040504:00</t>
    <phoneticPr fontId="42" type="noConversion"/>
  </si>
  <si>
    <t>2025040604:00</t>
    <phoneticPr fontId="42" type="noConversion"/>
  </si>
  <si>
    <t>2025040704:00</t>
    <phoneticPr fontId="42" type="noConversion"/>
  </si>
  <si>
    <t>2025040804:00</t>
    <phoneticPr fontId="42" type="noConversion"/>
  </si>
  <si>
    <t>2025040904:00</t>
    <phoneticPr fontId="42" type="noConversion"/>
  </si>
  <si>
    <t>2025041004:00</t>
    <phoneticPr fontId="42" type="noConversion"/>
  </si>
  <si>
    <t>402/211</t>
    <phoneticPr fontId="42" type="noConversion"/>
  </si>
  <si>
    <t>LGD-2504</t>
    <phoneticPr fontId="42" type="noConversion"/>
  </si>
  <si>
    <t>KHH</t>
    <phoneticPr fontId="42" type="noConversion"/>
  </si>
  <si>
    <t>2025041104:00</t>
    <phoneticPr fontId="42" type="noConversion"/>
  </si>
  <si>
    <t>401/250</t>
    <phoneticPr fontId="42" type="noConversion"/>
  </si>
  <si>
    <t>2025041204:00</t>
    <phoneticPr fontId="42" type="noConversion"/>
  </si>
  <si>
    <t>O</t>
    <phoneticPr fontId="42" type="noConversion"/>
  </si>
  <si>
    <t>526/254</t>
    <phoneticPr fontId="42" type="noConversion"/>
  </si>
  <si>
    <t>2025041304:00</t>
    <phoneticPr fontId="42" type="noConversion"/>
  </si>
  <si>
    <t>38/37</t>
    <phoneticPr fontId="42" type="noConversion"/>
  </si>
  <si>
    <t>190/190</t>
    <phoneticPr fontId="42" type="noConversion"/>
  </si>
  <si>
    <t>51/50</t>
    <phoneticPr fontId="42" type="noConversion"/>
  </si>
  <si>
    <t>46/46</t>
    <phoneticPr fontId="42" type="noConversion"/>
  </si>
  <si>
    <t>115/115</t>
    <phoneticPr fontId="42" type="noConversion"/>
  </si>
  <si>
    <t>392/234</t>
    <phoneticPr fontId="42" type="noConversion"/>
  </si>
  <si>
    <t>2025041404:00</t>
    <phoneticPr fontId="42" type="noConversion"/>
  </si>
  <si>
    <t>208/138</t>
    <phoneticPr fontId="42" type="noConversion"/>
  </si>
  <si>
    <t>72/62</t>
    <phoneticPr fontId="42" type="noConversion"/>
  </si>
  <si>
    <t>2025041504:00</t>
    <phoneticPr fontId="42" type="noConversion"/>
  </si>
  <si>
    <t>314/182</t>
    <phoneticPr fontId="42" type="noConversion"/>
  </si>
  <si>
    <t>99/98</t>
    <phoneticPr fontId="42" type="noConversion"/>
  </si>
  <si>
    <t>2025041604:00</t>
    <phoneticPr fontId="42" type="noConversion"/>
  </si>
  <si>
    <t>234/148</t>
    <phoneticPr fontId="42" type="noConversion"/>
  </si>
  <si>
    <t>80/79</t>
    <phoneticPr fontId="42" type="noConversion"/>
  </si>
  <si>
    <t>2025041704:00</t>
    <phoneticPr fontId="42" type="noConversion"/>
  </si>
  <si>
    <t>C</t>
    <phoneticPr fontId="42" type="noConversion"/>
  </si>
  <si>
    <t>264/151</t>
    <phoneticPr fontId="42" type="noConversion"/>
  </si>
  <si>
    <t>65/80</t>
    <phoneticPr fontId="42" type="noConversion"/>
  </si>
  <si>
    <t>2025041804:00</t>
    <phoneticPr fontId="42" type="noConversion"/>
  </si>
  <si>
    <t>327/215</t>
    <phoneticPr fontId="42" type="noConversion"/>
  </si>
  <si>
    <t>34/35</t>
    <phoneticPr fontId="42" type="noConversion"/>
  </si>
  <si>
    <t>2025041904:00</t>
    <phoneticPr fontId="42" type="noConversion"/>
  </si>
  <si>
    <t>237/145</t>
    <phoneticPr fontId="42" type="noConversion"/>
  </si>
  <si>
    <t>45/67</t>
    <phoneticPr fontId="42" type="noConversion"/>
  </si>
  <si>
    <t>2025042004:00</t>
    <phoneticPr fontId="42" type="noConversion"/>
  </si>
  <si>
    <t>622/392</t>
    <phoneticPr fontId="42" type="noConversion"/>
  </si>
  <si>
    <t>53/54</t>
    <phoneticPr fontId="42" type="noConversion"/>
  </si>
  <si>
    <t>2025042104:00</t>
    <phoneticPr fontId="42" type="noConversion"/>
  </si>
  <si>
    <t>2025042204:00</t>
    <phoneticPr fontId="42" type="noConversion"/>
  </si>
  <si>
    <t>308/211</t>
    <phoneticPr fontId="42" type="noConversion"/>
  </si>
  <si>
    <t>42/42</t>
    <phoneticPr fontId="42" type="noConversion"/>
  </si>
  <si>
    <t>180/180</t>
    <phoneticPr fontId="42" type="noConversion"/>
  </si>
  <si>
    <t>BUNKEREDN260</t>
    <phoneticPr fontId="42" type="noConversion"/>
  </si>
  <si>
    <t>LGD-2504B</t>
    <phoneticPr fontId="42" type="noConversion"/>
  </si>
  <si>
    <t>2025042304:00</t>
    <phoneticPr fontId="42" type="noConversion"/>
  </si>
  <si>
    <t>加淡水149頓</t>
    <phoneticPr fontId="42" type="noConversion"/>
  </si>
  <si>
    <t>2025042404:00</t>
    <phoneticPr fontId="42" type="noConversion"/>
  </si>
  <si>
    <t>2025042504:00</t>
    <phoneticPr fontId="42" type="noConversion"/>
  </si>
  <si>
    <t>342 / 210</t>
    <phoneticPr fontId="42" type="noConversion"/>
  </si>
  <si>
    <t>35 / 36</t>
    <phoneticPr fontId="42" type="noConversion"/>
  </si>
  <si>
    <t>LGD-2505</t>
    <phoneticPr fontId="42" type="noConversion"/>
  </si>
  <si>
    <t>2025042604:00</t>
    <phoneticPr fontId="42" type="noConversion"/>
  </si>
  <si>
    <t>594 / 346</t>
    <phoneticPr fontId="42" type="noConversion"/>
  </si>
  <si>
    <t>51 / 51</t>
    <phoneticPr fontId="42" type="noConversion"/>
  </si>
  <si>
    <t>2025042704:00</t>
    <phoneticPr fontId="42" type="noConversion"/>
  </si>
  <si>
    <t>2025042804:00</t>
    <phoneticPr fontId="42" type="noConversion"/>
  </si>
  <si>
    <t>243 / 131</t>
    <phoneticPr fontId="42" type="noConversion"/>
  </si>
  <si>
    <t>73 / 73</t>
    <phoneticPr fontId="42" type="noConversion"/>
  </si>
  <si>
    <t>26 / 26</t>
    <phoneticPr fontId="42" type="noConversion"/>
  </si>
  <si>
    <t>286 / 167</t>
    <phoneticPr fontId="42" type="noConversion"/>
  </si>
  <si>
    <t>109 / 75</t>
    <phoneticPr fontId="42" type="noConversion"/>
  </si>
  <si>
    <t>30 / 27</t>
    <phoneticPr fontId="42" type="noConversion"/>
  </si>
  <si>
    <t>2025042904:00</t>
    <phoneticPr fontId="42" type="noConversion"/>
  </si>
  <si>
    <t>276 / 163</t>
    <phoneticPr fontId="42" type="noConversion"/>
  </si>
  <si>
    <t>98 / 65</t>
    <phoneticPr fontId="42" type="noConversion"/>
  </si>
  <si>
    <t>28 / 26</t>
    <phoneticPr fontId="42" type="noConversion"/>
  </si>
  <si>
    <t>2025043004:00</t>
    <phoneticPr fontId="42" type="noConversion"/>
  </si>
  <si>
    <t>216 / 148</t>
    <phoneticPr fontId="42" type="noConversion"/>
  </si>
  <si>
    <t>67 / 62</t>
    <phoneticPr fontId="42" type="noConversion"/>
  </si>
  <si>
    <t>2025050104:00</t>
    <phoneticPr fontId="42" type="noConversion"/>
  </si>
  <si>
    <t>229 / 132</t>
    <phoneticPr fontId="42" type="noConversion"/>
  </si>
  <si>
    <t>66 / 47</t>
    <phoneticPr fontId="42" type="noConversion"/>
  </si>
  <si>
    <t>26 / 25</t>
    <phoneticPr fontId="42" type="noConversion"/>
  </si>
  <si>
    <t>2025050204:00</t>
    <phoneticPr fontId="42" type="noConversion"/>
  </si>
  <si>
    <t>567 / 341</t>
    <phoneticPr fontId="42" type="noConversion"/>
  </si>
  <si>
    <t>50 / 50</t>
    <phoneticPr fontId="42" type="noConversion"/>
  </si>
  <si>
    <t>2025050304:00</t>
    <phoneticPr fontId="42" type="noConversion"/>
  </si>
  <si>
    <t>365 / 211</t>
    <phoneticPr fontId="42" type="noConversion"/>
  </si>
  <si>
    <t>161 / 163</t>
    <phoneticPr fontId="42" type="noConversion"/>
  </si>
  <si>
    <t>2025050404:00</t>
    <phoneticPr fontId="42" type="noConversion"/>
  </si>
  <si>
    <t>2025050504:00</t>
    <phoneticPr fontId="42" type="noConversion"/>
  </si>
  <si>
    <t>2025050604:00</t>
    <phoneticPr fontId="42" type="noConversion"/>
  </si>
  <si>
    <t>加淡水中</t>
    <phoneticPr fontId="42" type="noConversion"/>
  </si>
  <si>
    <t>612/344</t>
    <phoneticPr fontId="42" type="noConversion"/>
  </si>
  <si>
    <t>47/48</t>
    <phoneticPr fontId="42" type="noConversion"/>
  </si>
  <si>
    <t>加淡水100頓</t>
    <phoneticPr fontId="42" type="noConversion"/>
  </si>
  <si>
    <t>2025050704:00</t>
    <phoneticPr fontId="42" type="noConversion"/>
  </si>
  <si>
    <t>LGD-T61</t>
    <phoneticPr fontId="42" type="noConversion"/>
  </si>
  <si>
    <t>2025050804:00</t>
    <phoneticPr fontId="42" type="noConversion"/>
  </si>
  <si>
    <t>2025050904:00</t>
    <phoneticPr fontId="42" type="noConversion"/>
  </si>
  <si>
    <t>2025051004:00</t>
    <phoneticPr fontId="42" type="noConversion"/>
  </si>
  <si>
    <t>R</t>
    <phoneticPr fontId="42" type="noConversion"/>
  </si>
  <si>
    <t>192 / 120</t>
    <phoneticPr fontId="42" type="noConversion"/>
  </si>
  <si>
    <t>31 / 39</t>
    <phoneticPr fontId="42" type="noConversion"/>
  </si>
  <si>
    <t>LGD-2506</t>
    <phoneticPr fontId="42" type="noConversion"/>
  </si>
  <si>
    <t>2025051104:00</t>
    <phoneticPr fontId="42" type="noConversion"/>
  </si>
  <si>
    <t>590 / 360</t>
    <phoneticPr fontId="42" type="noConversion"/>
  </si>
  <si>
    <t>52 / 53</t>
    <phoneticPr fontId="42" type="noConversion"/>
  </si>
  <si>
    <t>2025051204:00</t>
    <phoneticPr fontId="42" type="noConversion"/>
  </si>
  <si>
    <t>292 / 177</t>
    <phoneticPr fontId="42" type="noConversion"/>
  </si>
  <si>
    <t>130 / 130</t>
    <phoneticPr fontId="42" type="noConversion"/>
  </si>
  <si>
    <t>31 / 32</t>
    <phoneticPr fontId="42" type="noConversion"/>
  </si>
  <si>
    <t>2025051304:00</t>
    <phoneticPr fontId="42" type="noConversion"/>
  </si>
  <si>
    <t>339 / 232</t>
    <phoneticPr fontId="42" type="noConversion"/>
  </si>
  <si>
    <t>154 / 155</t>
    <phoneticPr fontId="42" type="noConversion"/>
  </si>
  <si>
    <t>2025051404:00</t>
    <phoneticPr fontId="42" type="noConversion"/>
  </si>
  <si>
    <t>R</t>
    <phoneticPr fontId="42" type="noConversion"/>
  </si>
  <si>
    <t>370 / 241</t>
    <phoneticPr fontId="42" type="noConversion"/>
  </si>
  <si>
    <t>161 / 161</t>
    <phoneticPr fontId="42" type="noConversion"/>
  </si>
  <si>
    <t>38 / 38</t>
    <phoneticPr fontId="42" type="noConversion"/>
  </si>
  <si>
    <t>2025051504:00</t>
    <phoneticPr fontId="42" type="noConversion"/>
  </si>
  <si>
    <t>390 / 242</t>
    <phoneticPr fontId="42" type="noConversion"/>
  </si>
  <si>
    <t>165 / 165</t>
    <phoneticPr fontId="42" type="noConversion"/>
  </si>
  <si>
    <t>2025051604:00</t>
    <phoneticPr fontId="42" type="noConversion"/>
  </si>
  <si>
    <t>530 / 315</t>
    <phoneticPr fontId="42" type="noConversion"/>
  </si>
  <si>
    <t>47 / 48</t>
    <phoneticPr fontId="42" type="noConversion"/>
  </si>
  <si>
    <t>2025051704:00</t>
    <phoneticPr fontId="42" type="noConversion"/>
  </si>
  <si>
    <t>578 / 341</t>
    <phoneticPr fontId="42" type="noConversion"/>
  </si>
  <si>
    <t>50 / 52</t>
    <phoneticPr fontId="42" type="noConversion"/>
  </si>
  <si>
    <t>2025051804:00</t>
    <phoneticPr fontId="42" type="noConversion"/>
  </si>
  <si>
    <t>574 / 355</t>
    <phoneticPr fontId="42" type="noConversion"/>
  </si>
  <si>
    <t>49 / 50</t>
    <phoneticPr fontId="42" type="noConversion"/>
  </si>
  <si>
    <t>KEL</t>
    <phoneticPr fontId="42" type="noConversion"/>
  </si>
  <si>
    <t>2025051904:00</t>
    <phoneticPr fontId="42" type="noConversion"/>
  </si>
  <si>
    <t>564 / 346</t>
    <phoneticPr fontId="42" type="noConversion"/>
  </si>
  <si>
    <t>2025052004:00</t>
    <phoneticPr fontId="42" type="noConversion"/>
  </si>
  <si>
    <t>2025052104:00</t>
    <phoneticPr fontId="42" type="noConversion"/>
  </si>
  <si>
    <t>2025052204:00</t>
    <phoneticPr fontId="42" type="noConversion"/>
  </si>
  <si>
    <t>2025052304:00</t>
    <phoneticPr fontId="42" type="noConversion"/>
  </si>
  <si>
    <t>加水中</t>
    <phoneticPr fontId="42" type="noConversion"/>
  </si>
  <si>
    <t>2025052404:00</t>
    <phoneticPr fontId="42" type="noConversion"/>
  </si>
  <si>
    <t>587/370</t>
    <phoneticPr fontId="42" type="noConversion"/>
  </si>
  <si>
    <t>52/52</t>
    <phoneticPr fontId="42" type="noConversion"/>
  </si>
  <si>
    <t>LGD-2507</t>
    <phoneticPr fontId="42" type="noConversion"/>
  </si>
  <si>
    <t>2025052504:00</t>
    <phoneticPr fontId="42" type="noConversion"/>
  </si>
  <si>
    <t>619/320</t>
    <phoneticPr fontId="42" type="noConversion"/>
  </si>
  <si>
    <t>2025052604:00</t>
    <phoneticPr fontId="42" type="noConversion"/>
  </si>
  <si>
    <t>574/321</t>
    <phoneticPr fontId="42" type="noConversion"/>
  </si>
  <si>
    <t>2025052704:00</t>
    <phoneticPr fontId="42" type="noConversion"/>
  </si>
  <si>
    <t>568/344</t>
    <phoneticPr fontId="42" type="noConversion"/>
  </si>
  <si>
    <t>2025052804:00</t>
    <phoneticPr fontId="42" type="noConversion"/>
  </si>
  <si>
    <t>560/340</t>
    <phoneticPr fontId="42" type="noConversion"/>
  </si>
  <si>
    <t>2025052904:00</t>
    <phoneticPr fontId="42" type="noConversion"/>
  </si>
  <si>
    <t>R</t>
    <phoneticPr fontId="42" type="noConversion"/>
  </si>
  <si>
    <t>280/187</t>
    <phoneticPr fontId="42" type="noConversion"/>
  </si>
  <si>
    <t>80/87</t>
    <phoneticPr fontId="42" type="noConversion"/>
  </si>
  <si>
    <t>2025053004:00</t>
    <phoneticPr fontId="42" type="noConversion"/>
  </si>
  <si>
    <t>307/190</t>
    <phoneticPr fontId="42" type="noConversion"/>
  </si>
  <si>
    <t>30/27</t>
    <phoneticPr fontId="42" type="noConversion"/>
  </si>
  <si>
    <t>95/74</t>
    <phoneticPr fontId="42" type="noConversion"/>
  </si>
  <si>
    <t>2025053104:00</t>
    <phoneticPr fontId="42" type="noConversion"/>
  </si>
  <si>
    <t>352/217</t>
    <phoneticPr fontId="42" type="noConversion"/>
  </si>
  <si>
    <t>2025060104:00</t>
    <phoneticPr fontId="42" type="noConversion"/>
  </si>
  <si>
    <t>566/347</t>
    <phoneticPr fontId="42" type="noConversion"/>
  </si>
  <si>
    <t>2025060204:00</t>
    <phoneticPr fontId="42" type="noConversion"/>
  </si>
  <si>
    <t>O</t>
    <phoneticPr fontId="42" type="noConversion"/>
  </si>
  <si>
    <t>51/51</t>
    <phoneticPr fontId="42" type="noConversion"/>
  </si>
  <si>
    <t>571/350</t>
    <phoneticPr fontId="42" type="noConversion"/>
  </si>
  <si>
    <t>2025060304:00</t>
    <phoneticPr fontId="42" type="noConversion"/>
  </si>
  <si>
    <t>600/388</t>
    <phoneticPr fontId="42" type="noConversion"/>
  </si>
  <si>
    <t>55/55</t>
    <phoneticPr fontId="42" type="noConversion"/>
  </si>
  <si>
    <t>2025060404:00</t>
    <phoneticPr fontId="42" type="noConversion"/>
  </si>
  <si>
    <t>609/371</t>
    <phoneticPr fontId="42" type="noConversion"/>
  </si>
  <si>
    <t>2025060504:00</t>
    <phoneticPr fontId="42" type="noConversion"/>
  </si>
  <si>
    <t>2025060604:00</t>
    <phoneticPr fontId="42" type="noConversion"/>
  </si>
  <si>
    <t>LGD-2507</t>
    <phoneticPr fontId="42" type="noConversion"/>
  </si>
  <si>
    <t>2025060704:00</t>
    <phoneticPr fontId="42" type="noConversion"/>
  </si>
  <si>
    <t>加淡水106頓</t>
    <phoneticPr fontId="42" type="noConversion"/>
  </si>
  <si>
    <t>2025060804:00</t>
    <phoneticPr fontId="42" type="noConversion"/>
  </si>
  <si>
    <t>2025060904:00</t>
    <phoneticPr fontId="42" type="noConversion"/>
  </si>
  <si>
    <t>182 / 125</t>
    <phoneticPr fontId="42" type="noConversion"/>
  </si>
  <si>
    <t>LGD-2508</t>
    <phoneticPr fontId="42" type="noConversion"/>
  </si>
  <si>
    <t>2025061004:00</t>
    <phoneticPr fontId="42" type="noConversion"/>
  </si>
  <si>
    <t>2025061104:00</t>
    <phoneticPr fontId="42" type="noConversion"/>
  </si>
  <si>
    <t>2025061204:00</t>
    <phoneticPr fontId="42" type="noConversion"/>
  </si>
  <si>
    <t>P</t>
  </si>
  <si>
    <t>175 / 137</t>
    <phoneticPr fontId="42" type="noConversion"/>
  </si>
  <si>
    <t>31 / 30</t>
    <phoneticPr fontId="42" type="noConversion"/>
  </si>
  <si>
    <t>R</t>
    <phoneticPr fontId="42" type="noConversion"/>
  </si>
  <si>
    <t>2025061304:00</t>
    <phoneticPr fontId="42" type="noConversion"/>
  </si>
  <si>
    <t>600 / 351</t>
    <phoneticPr fontId="42" type="noConversion"/>
  </si>
  <si>
    <t>2025061404:00</t>
    <phoneticPr fontId="42" type="noConversion"/>
  </si>
  <si>
    <t>535  / 341</t>
    <phoneticPr fontId="42" type="noConversion"/>
  </si>
  <si>
    <t>211 / 209</t>
    <phoneticPr fontId="42" type="noConversion"/>
  </si>
  <si>
    <t>2025061504:00</t>
    <phoneticPr fontId="42" type="noConversion"/>
  </si>
  <si>
    <t>572 / 351</t>
    <phoneticPr fontId="42" type="noConversion"/>
  </si>
  <si>
    <t>52 / 52</t>
    <phoneticPr fontId="42" type="noConversion"/>
  </si>
  <si>
    <t>2025061604:00</t>
    <phoneticPr fontId="42" type="noConversion"/>
  </si>
  <si>
    <t>2025061704:00</t>
    <phoneticPr fontId="42" type="noConversion"/>
  </si>
  <si>
    <t>280 / 174</t>
    <phoneticPr fontId="42" type="noConversion"/>
  </si>
  <si>
    <t>62 / 64</t>
    <phoneticPr fontId="42" type="noConversion"/>
  </si>
  <si>
    <t>474 / 291</t>
    <phoneticPr fontId="42" type="noConversion"/>
  </si>
  <si>
    <t>2025061804:00</t>
    <phoneticPr fontId="42" type="noConversion"/>
  </si>
  <si>
    <t>467 / 295</t>
    <phoneticPr fontId="42" type="noConversion"/>
  </si>
  <si>
    <t>44 / 45</t>
    <phoneticPr fontId="42" type="noConversion"/>
  </si>
  <si>
    <t>191 / 190</t>
    <phoneticPr fontId="42" type="noConversion"/>
  </si>
  <si>
    <t>2025061904:00</t>
    <phoneticPr fontId="42" type="noConversion"/>
  </si>
  <si>
    <t>2025062004:00</t>
    <phoneticPr fontId="42" type="noConversion"/>
  </si>
  <si>
    <t>2025062104:00</t>
    <phoneticPr fontId="42" type="noConversion"/>
  </si>
  <si>
    <t>2025062204:00</t>
    <phoneticPr fontId="42" type="noConversion"/>
  </si>
  <si>
    <t>2025062304:00</t>
    <phoneticPr fontId="42" type="noConversion"/>
  </si>
  <si>
    <t>2025062404:00</t>
    <phoneticPr fontId="42" type="noConversion"/>
  </si>
  <si>
    <t>2025062504:00</t>
    <phoneticPr fontId="42" type="noConversion"/>
  </si>
  <si>
    <t>219 / 144</t>
    <phoneticPr fontId="42" type="noConversion"/>
  </si>
  <si>
    <t>75 / 73</t>
    <phoneticPr fontId="42" type="noConversion"/>
  </si>
  <si>
    <t>LGD-2509</t>
    <phoneticPr fontId="42" type="noConversion"/>
  </si>
  <si>
    <t>KHH</t>
    <phoneticPr fontId="42" type="noConversion"/>
  </si>
  <si>
    <t>2025062604:00</t>
    <phoneticPr fontId="42" type="noConversion"/>
  </si>
  <si>
    <t>518 / 322</t>
    <phoneticPr fontId="42" type="noConversion"/>
  </si>
  <si>
    <t>2025062704:00</t>
    <phoneticPr fontId="42" type="noConversion"/>
  </si>
  <si>
    <t>311 / 146</t>
    <phoneticPr fontId="42" type="noConversion"/>
  </si>
  <si>
    <t>112 / 109</t>
    <phoneticPr fontId="42" type="noConversion"/>
  </si>
  <si>
    <t>30 / 29</t>
    <phoneticPr fontId="42" type="noConversion"/>
  </si>
  <si>
    <t>2025062804:00</t>
    <phoneticPr fontId="42" type="noConversion"/>
  </si>
  <si>
    <t>401 / 218</t>
    <phoneticPr fontId="42" type="noConversion"/>
  </si>
  <si>
    <t>2025062904:00</t>
    <phoneticPr fontId="42" type="noConversion"/>
  </si>
  <si>
    <t>237 / 158</t>
    <phoneticPr fontId="42" type="noConversion"/>
  </si>
  <si>
    <t>86 / 85</t>
    <phoneticPr fontId="42" type="noConversion"/>
  </si>
  <si>
    <t>27 / 27</t>
    <phoneticPr fontId="42" type="noConversion"/>
  </si>
  <si>
    <t>2025063004:00</t>
    <phoneticPr fontId="42" type="noConversion"/>
  </si>
  <si>
    <t>493 / 305</t>
    <phoneticPr fontId="42" type="noConversion"/>
  </si>
  <si>
    <t>2025070104:00</t>
    <phoneticPr fontId="42" type="noConversion"/>
  </si>
  <si>
    <t>235 / 136</t>
    <phoneticPr fontId="42" type="noConversion"/>
  </si>
  <si>
    <t>100 / 100</t>
    <phoneticPr fontId="42" type="noConversion"/>
  </si>
  <si>
    <t>28 / 28</t>
    <phoneticPr fontId="42" type="noConversion"/>
  </si>
  <si>
    <t>2025070204:00</t>
    <phoneticPr fontId="42" type="noConversion"/>
  </si>
  <si>
    <t>BUNKEREDN250</t>
    <phoneticPr fontId="42" type="noConversion"/>
  </si>
  <si>
    <t>574 / 375</t>
    <phoneticPr fontId="42" type="noConversion"/>
  </si>
  <si>
    <t>53 / 53</t>
    <phoneticPr fontId="42" type="noConversion"/>
  </si>
  <si>
    <t>LGD-2509B</t>
    <phoneticPr fontId="42" type="noConversion"/>
  </si>
  <si>
    <t>2025070304:00</t>
    <phoneticPr fontId="42" type="noConversion"/>
  </si>
  <si>
    <t>2025070404:00</t>
    <phoneticPr fontId="42" type="noConversion"/>
  </si>
  <si>
    <t>2025070504:00</t>
    <phoneticPr fontId="42" type="noConversion"/>
  </si>
  <si>
    <t>2025070604:00</t>
    <phoneticPr fontId="42" type="noConversion"/>
  </si>
  <si>
    <t>2025070704:00</t>
    <phoneticPr fontId="42" type="noConversion"/>
  </si>
  <si>
    <t>2025070804:00</t>
    <phoneticPr fontId="42" type="noConversion"/>
  </si>
  <si>
    <t>O</t>
    <phoneticPr fontId="42" type="noConversion"/>
  </si>
  <si>
    <t>2025070904:00</t>
    <phoneticPr fontId="42" type="noConversion"/>
  </si>
  <si>
    <t>LGD-2509S</t>
    <phoneticPr fontId="42" type="noConversion"/>
  </si>
  <si>
    <t>2025071004:00</t>
    <phoneticPr fontId="42" type="noConversion"/>
  </si>
  <si>
    <t>2025071104:00</t>
    <phoneticPr fontId="42" type="noConversion"/>
  </si>
  <si>
    <t>2025071204:00</t>
    <phoneticPr fontId="42" type="noConversion"/>
  </si>
  <si>
    <t>2025071304:00</t>
    <phoneticPr fontId="42" type="noConversion"/>
  </si>
  <si>
    <t>2025071404:00</t>
    <phoneticPr fontId="42" type="noConversion"/>
  </si>
  <si>
    <t>C</t>
    <phoneticPr fontId="42" type="noConversion"/>
  </si>
  <si>
    <t>2025071504:00</t>
    <phoneticPr fontId="42" type="noConversion"/>
  </si>
  <si>
    <t>2025071604:00</t>
    <phoneticPr fontId="42" type="noConversion"/>
  </si>
  <si>
    <t>2025071704:00</t>
    <phoneticPr fontId="42" type="noConversion"/>
  </si>
  <si>
    <t>C</t>
    <phoneticPr fontId="42" type="noConversion"/>
  </si>
  <si>
    <t>2025071804:00</t>
    <phoneticPr fontId="42" type="noConversion"/>
  </si>
  <si>
    <t>2025071904:00</t>
    <phoneticPr fontId="42" type="noConversion"/>
  </si>
  <si>
    <t>2025072004:00</t>
    <phoneticPr fontId="42" type="noConversion"/>
  </si>
  <si>
    <t>R</t>
    <phoneticPr fontId="42" type="noConversion"/>
  </si>
  <si>
    <t>20250721004:00</t>
    <phoneticPr fontId="42" type="noConversion"/>
  </si>
  <si>
    <t>O</t>
    <phoneticPr fontId="42" type="noConversion"/>
  </si>
  <si>
    <t>20250722004:00</t>
    <phoneticPr fontId="42" type="noConversion"/>
  </si>
  <si>
    <t>20250723004:00</t>
    <phoneticPr fontId="42" type="noConversion"/>
  </si>
  <si>
    <t>20250724004:00</t>
    <phoneticPr fontId="42" type="noConversion"/>
  </si>
  <si>
    <t>2025072504:00</t>
    <phoneticPr fontId="42" type="noConversion"/>
  </si>
  <si>
    <t>加水中</t>
    <phoneticPr fontId="42" type="noConversion"/>
  </si>
  <si>
    <t>加淡水163頓</t>
    <phoneticPr fontId="42" type="noConversion"/>
  </si>
  <si>
    <t>2025072604:00</t>
    <phoneticPr fontId="42" type="noConversion"/>
  </si>
  <si>
    <t>2025072704:00</t>
    <phoneticPr fontId="42" type="noConversion"/>
  </si>
  <si>
    <t>R</t>
    <phoneticPr fontId="42" type="noConversion"/>
  </si>
  <si>
    <t>2025072804:00</t>
    <phoneticPr fontId="42" type="noConversion"/>
  </si>
  <si>
    <t>2025072904:00</t>
    <phoneticPr fontId="42" type="noConversion"/>
  </si>
  <si>
    <t>LGD-2511</t>
    <phoneticPr fontId="42" type="noConversion"/>
  </si>
  <si>
    <t>2025073004:00</t>
    <phoneticPr fontId="42" type="noConversion"/>
  </si>
  <si>
    <t>HUN</t>
    <phoneticPr fontId="42" type="noConversion"/>
  </si>
  <si>
    <t>551/311</t>
    <phoneticPr fontId="42" type="noConversion"/>
  </si>
  <si>
    <t>569/345</t>
    <phoneticPr fontId="42" type="noConversion"/>
  </si>
  <si>
    <t>54/55</t>
    <phoneticPr fontId="42" type="noConversion"/>
  </si>
  <si>
    <t>2025073104:00</t>
    <phoneticPr fontId="42" type="noConversion"/>
  </si>
  <si>
    <t>203/153</t>
    <phoneticPr fontId="42" type="noConversion"/>
  </si>
  <si>
    <t>26/26</t>
    <phoneticPr fontId="42" type="noConversion"/>
  </si>
  <si>
    <t>2025080104:00</t>
    <phoneticPr fontId="42" type="noConversion"/>
  </si>
  <si>
    <t>230/164</t>
    <phoneticPr fontId="42" type="noConversion"/>
  </si>
  <si>
    <t>2025080204:00</t>
    <phoneticPr fontId="42" type="noConversion"/>
  </si>
  <si>
    <t>C</t>
    <phoneticPr fontId="42" type="noConversion"/>
  </si>
  <si>
    <t>141/141</t>
    <phoneticPr fontId="42" type="noConversion"/>
  </si>
  <si>
    <t>2025080304:00</t>
    <phoneticPr fontId="42" type="noConversion"/>
  </si>
  <si>
    <t>132/132</t>
    <phoneticPr fontId="42" type="noConversion"/>
  </si>
  <si>
    <t>32/33</t>
    <phoneticPr fontId="42" type="noConversion"/>
  </si>
  <si>
    <t>2025080404:00</t>
    <phoneticPr fontId="42" type="noConversion"/>
  </si>
  <si>
    <t>312/ 187</t>
    <phoneticPr fontId="42" type="noConversion"/>
  </si>
  <si>
    <t>329/ 205</t>
    <phoneticPr fontId="42" type="noConversion"/>
  </si>
  <si>
    <t>291/ 174</t>
    <phoneticPr fontId="42" type="noConversion"/>
  </si>
  <si>
    <t>123/122</t>
    <phoneticPr fontId="42" type="noConversion"/>
  </si>
  <si>
    <t>30/32</t>
    <phoneticPr fontId="42" type="noConversion"/>
  </si>
  <si>
    <t>2025080504:00</t>
    <phoneticPr fontId="42" type="noConversion"/>
  </si>
  <si>
    <t>122/121</t>
    <phoneticPr fontId="42" type="noConversion"/>
  </si>
  <si>
    <t>277/ 174</t>
    <phoneticPr fontId="42" type="noConversion"/>
  </si>
  <si>
    <t>2025080604:00</t>
    <phoneticPr fontId="42" type="noConversion"/>
  </si>
  <si>
    <t>414/219</t>
    <phoneticPr fontId="42" type="noConversion"/>
  </si>
  <si>
    <t>2025080704:00</t>
    <phoneticPr fontId="42" type="noConversion"/>
  </si>
  <si>
    <t>603/370</t>
    <phoneticPr fontId="42" type="noConversion"/>
  </si>
  <si>
    <t>205/205</t>
    <phoneticPr fontId="42" type="noConversion"/>
  </si>
  <si>
    <t>2025080804:00</t>
    <phoneticPr fontId="42" type="noConversion"/>
  </si>
  <si>
    <t>210/160</t>
    <phoneticPr fontId="42" type="noConversion"/>
  </si>
  <si>
    <t>71/ 69</t>
    <phoneticPr fontId="42" type="noConversion"/>
  </si>
  <si>
    <t>2025080904:00</t>
    <phoneticPr fontId="42" type="noConversion"/>
  </si>
  <si>
    <t>272/174</t>
    <phoneticPr fontId="42" type="noConversion"/>
  </si>
  <si>
    <t>2025081004:00</t>
    <phoneticPr fontId="42" type="noConversion"/>
  </si>
  <si>
    <t>230/120</t>
    <phoneticPr fontId="42" type="noConversion"/>
  </si>
  <si>
    <t>85/85</t>
    <phoneticPr fontId="42" type="noConversion"/>
  </si>
  <si>
    <t>2025081104:00</t>
    <phoneticPr fontId="42" type="noConversion"/>
  </si>
  <si>
    <t>640/407</t>
    <phoneticPr fontId="42" type="noConversion"/>
  </si>
  <si>
    <t>216/215</t>
    <phoneticPr fontId="42" type="noConversion"/>
  </si>
  <si>
    <t>57/59</t>
    <phoneticPr fontId="42" type="noConversion"/>
  </si>
  <si>
    <t>2025081204:00</t>
    <phoneticPr fontId="42" type="noConversion"/>
  </si>
  <si>
    <t>2025081304:00</t>
    <phoneticPr fontId="42" type="noConversion"/>
  </si>
  <si>
    <t>2025081404:00</t>
    <phoneticPr fontId="42" type="noConversion"/>
  </si>
  <si>
    <t>2025081504:00</t>
    <phoneticPr fontId="42" type="noConversion"/>
  </si>
  <si>
    <t>2025081604:00</t>
    <phoneticPr fontId="42" type="noConversion"/>
  </si>
  <si>
    <t>2025081704:00</t>
    <phoneticPr fontId="42" type="noConversion"/>
  </si>
  <si>
    <t>2025081804:00</t>
    <phoneticPr fontId="42" type="noConversion"/>
  </si>
  <si>
    <t>2025081904:00</t>
    <phoneticPr fontId="42" type="noConversion"/>
  </si>
  <si>
    <t>2025082004:00</t>
    <phoneticPr fontId="42" type="noConversion"/>
  </si>
  <si>
    <t>2025082104:00</t>
    <phoneticPr fontId="42" type="noConversion"/>
  </si>
  <si>
    <t>2025082204:00</t>
    <phoneticPr fontId="42" type="noConversion"/>
  </si>
  <si>
    <t>2025082304:00</t>
    <phoneticPr fontId="42" type="noConversion"/>
  </si>
  <si>
    <t>2025082404:00</t>
    <phoneticPr fontId="42" type="noConversion"/>
  </si>
  <si>
    <t>2025082504:00</t>
    <phoneticPr fontId="42" type="noConversion"/>
  </si>
  <si>
    <t>#2</t>
    <phoneticPr fontId="42" type="noConversion"/>
  </si>
  <si>
    <t>2025082604:00</t>
    <phoneticPr fontId="42" type="noConversion"/>
  </si>
  <si>
    <t>加水中</t>
    <phoneticPr fontId="42" type="noConversion"/>
  </si>
  <si>
    <t>2025082704:00</t>
    <phoneticPr fontId="42" type="noConversion"/>
  </si>
  <si>
    <t>加水180頓</t>
    <phoneticPr fontId="42" type="noConversion"/>
  </si>
  <si>
    <t>2025082804:00</t>
    <phoneticPr fontId="42" type="noConversion"/>
  </si>
  <si>
    <t>2025082904:00</t>
    <phoneticPr fontId="42" type="noConversion"/>
  </si>
  <si>
    <t>2025083004:00</t>
    <phoneticPr fontId="42" type="noConversion"/>
  </si>
  <si>
    <t>2025083104:00</t>
    <phoneticPr fontId="42" type="noConversion"/>
  </si>
  <si>
    <t>2025090104:00</t>
    <phoneticPr fontId="42" type="noConversion"/>
  </si>
  <si>
    <t>2025090204:00</t>
    <phoneticPr fontId="42" type="noConversion"/>
  </si>
  <si>
    <t>2025090304:00</t>
    <phoneticPr fontId="42" type="noConversion"/>
  </si>
  <si>
    <t>2025090404:00</t>
    <phoneticPr fontId="42" type="noConversion"/>
  </si>
  <si>
    <t>2025090504:00</t>
    <phoneticPr fontId="42" type="noConversion"/>
  </si>
  <si>
    <t>2025090604:00</t>
    <phoneticPr fontId="42" type="noConversion"/>
  </si>
  <si>
    <t>2025090704:00</t>
    <phoneticPr fontId="42" type="noConversion"/>
  </si>
  <si>
    <t>2025090804:00</t>
    <phoneticPr fontId="42" type="noConversion"/>
  </si>
  <si>
    <t>2025090904:00</t>
    <phoneticPr fontId="42" type="noConversion"/>
  </si>
  <si>
    <t>2025091004:00</t>
    <phoneticPr fontId="42" type="noConversion"/>
  </si>
  <si>
    <t>2025091104:00</t>
    <phoneticPr fontId="42" type="noConversion"/>
  </si>
  <si>
    <t>2025091204:00</t>
    <phoneticPr fontId="42" type="noConversion"/>
  </si>
  <si>
    <t>2025091304:00</t>
    <phoneticPr fontId="42" type="noConversion"/>
  </si>
  <si>
    <t>2025091404:00</t>
    <phoneticPr fontId="42" type="noConversion"/>
  </si>
  <si>
    <t>2025091504:00</t>
    <phoneticPr fontId="42" type="noConversion"/>
  </si>
  <si>
    <t>LGD-2511S</t>
    <phoneticPr fontId="42" type="noConversion"/>
  </si>
  <si>
    <t>2025091604:00</t>
    <phoneticPr fontId="42" type="noConversion"/>
  </si>
  <si>
    <t>2025091704:00</t>
    <phoneticPr fontId="42" type="noConversion"/>
  </si>
  <si>
    <t>2025091804:00</t>
    <phoneticPr fontId="42" type="noConversion"/>
  </si>
  <si>
    <t>2025091904:00</t>
    <phoneticPr fontId="42" type="noConversion"/>
  </si>
  <si>
    <t>2025092004:00</t>
    <phoneticPr fontId="42" type="noConversion"/>
  </si>
  <si>
    <t>2025092104:00</t>
    <phoneticPr fontId="42" type="noConversion"/>
  </si>
  <si>
    <t>2025092204:00</t>
    <phoneticPr fontId="42" type="noConversion"/>
  </si>
  <si>
    <t>2025092304:00</t>
    <phoneticPr fontId="42" type="noConversion"/>
  </si>
  <si>
    <t>2025092404:00</t>
    <phoneticPr fontId="42" type="noConversion"/>
  </si>
  <si>
    <t>R</t>
    <phoneticPr fontId="42" type="noConversion"/>
  </si>
  <si>
    <t>C</t>
    <phoneticPr fontId="42" type="noConversion"/>
  </si>
  <si>
    <t>2025092504:00</t>
    <phoneticPr fontId="42" type="noConversion"/>
  </si>
  <si>
    <t>2025092604:00</t>
    <phoneticPr fontId="42" type="noConversion"/>
  </si>
  <si>
    <t>加水中</t>
    <phoneticPr fontId="42" type="noConversion"/>
  </si>
  <si>
    <t>加136噸淡水</t>
    <phoneticPr fontId="42" type="noConversion"/>
  </si>
  <si>
    <t>2025092704:00</t>
    <phoneticPr fontId="42" type="noConversion"/>
  </si>
  <si>
    <t>2025092804:00</t>
    <phoneticPr fontId="42" type="noConversion"/>
  </si>
  <si>
    <t>2025092904:00</t>
    <phoneticPr fontId="42" type="noConversion"/>
  </si>
  <si>
    <t>2025093004:00</t>
    <phoneticPr fontId="42" type="noConversion"/>
  </si>
  <si>
    <t>2025100104:00</t>
    <phoneticPr fontId="42" type="noConversion"/>
  </si>
  <si>
    <t>C</t>
    <phoneticPr fontId="42" type="noConversion"/>
  </si>
  <si>
    <t>2025100204:00</t>
    <phoneticPr fontId="42" type="noConversion"/>
  </si>
  <si>
    <t>2025100304:00</t>
    <phoneticPr fontId="42" type="noConversion"/>
  </si>
  <si>
    <t>2025100404:00</t>
    <phoneticPr fontId="42" type="noConversion"/>
  </si>
  <si>
    <t>2025100504:00</t>
    <phoneticPr fontId="42" type="noConversion"/>
  </si>
  <si>
    <t>2025100604:00</t>
    <phoneticPr fontId="42" type="noConversion"/>
  </si>
  <si>
    <t>2025100704:00</t>
    <phoneticPr fontId="42" type="noConversion"/>
  </si>
  <si>
    <t>加淡水88噸</t>
    <phoneticPr fontId="42" type="noConversion"/>
  </si>
  <si>
    <t>2025100804:00</t>
    <phoneticPr fontId="42" type="noConversion"/>
  </si>
  <si>
    <t>2025100904:00</t>
    <phoneticPr fontId="42" type="noConversion"/>
  </si>
  <si>
    <t>2025101004:00</t>
    <phoneticPr fontId="42" type="noConversion"/>
  </si>
  <si>
    <t>259/126</t>
    <phoneticPr fontId="42" type="noConversion"/>
  </si>
  <si>
    <t>2025101104:00</t>
    <phoneticPr fontId="42" type="noConversion"/>
  </si>
  <si>
    <t>2025101204:00</t>
    <phoneticPr fontId="42" type="noConversion"/>
  </si>
  <si>
    <t>512/ 306</t>
    <phoneticPr fontId="42" type="noConversion"/>
  </si>
  <si>
    <t>49/ 49</t>
    <phoneticPr fontId="42" type="noConversion"/>
  </si>
  <si>
    <t>358/ 210</t>
    <phoneticPr fontId="42" type="noConversion"/>
  </si>
  <si>
    <t>150/ 150</t>
    <phoneticPr fontId="42" type="noConversion"/>
  </si>
  <si>
    <t>36/ 35</t>
    <phoneticPr fontId="42" type="noConversion"/>
  </si>
  <si>
    <t>2025101304:00</t>
    <phoneticPr fontId="42" type="noConversion"/>
  </si>
  <si>
    <t>100/ 100</t>
    <phoneticPr fontId="42" type="noConversion"/>
  </si>
  <si>
    <t>28/ 28</t>
    <phoneticPr fontId="42" type="noConversion"/>
  </si>
  <si>
    <t>2025101404:00</t>
    <phoneticPr fontId="42" type="noConversion"/>
  </si>
  <si>
    <t>387/ 177</t>
    <phoneticPr fontId="42" type="noConversion"/>
  </si>
  <si>
    <t>130/ 130</t>
    <phoneticPr fontId="42" type="noConversion"/>
  </si>
  <si>
    <t>31/ 31</t>
    <phoneticPr fontId="42" type="noConversion"/>
  </si>
  <si>
    <t>257/ 196</t>
    <phoneticPr fontId="42" type="noConversion"/>
  </si>
  <si>
    <t>HUN</t>
    <phoneticPr fontId="42" type="noConversion"/>
  </si>
  <si>
    <t>LGD-2512</t>
    <phoneticPr fontId="42" type="noConversion"/>
  </si>
  <si>
    <t>2025101504:00</t>
    <phoneticPr fontId="42" type="noConversion"/>
  </si>
  <si>
    <t>2025101604:00</t>
    <phoneticPr fontId="42" type="noConversion"/>
  </si>
  <si>
    <t>2025101704:00</t>
    <phoneticPr fontId="42" type="noConversion"/>
  </si>
  <si>
    <t>2025101804:00</t>
    <phoneticPr fontId="42" type="noConversion"/>
  </si>
  <si>
    <t>O</t>
    <phoneticPr fontId="42" type="noConversion"/>
  </si>
  <si>
    <t>2025101904:00</t>
    <phoneticPr fontId="42" type="noConversion"/>
  </si>
  <si>
    <t>2025102004:00</t>
    <phoneticPr fontId="42" type="noConversion"/>
  </si>
  <si>
    <t>2025102104:00</t>
    <phoneticPr fontId="42" type="noConversion"/>
  </si>
  <si>
    <t>2025102204:00</t>
    <phoneticPr fontId="42" type="noConversion"/>
  </si>
  <si>
    <t>588/337</t>
    <phoneticPr fontId="42" type="noConversion"/>
  </si>
  <si>
    <t>2025102304:00</t>
    <phoneticPr fontId="42" type="noConversion"/>
  </si>
  <si>
    <t>LGD-2512-1</t>
    <phoneticPr fontId="42" type="noConversion"/>
  </si>
  <si>
    <t>505/344</t>
    <phoneticPr fontId="42" type="noConversion"/>
  </si>
  <si>
    <t>55/54</t>
    <phoneticPr fontId="42" type="noConversion"/>
  </si>
  <si>
    <t>2025102404:00</t>
    <phoneticPr fontId="42" type="noConversion"/>
  </si>
  <si>
    <t>294/204</t>
    <phoneticPr fontId="42" type="noConversion"/>
  </si>
  <si>
    <t>2025102504:00</t>
    <phoneticPr fontId="42" type="noConversion"/>
  </si>
  <si>
    <t>570/341</t>
    <phoneticPr fontId="42" type="noConversion"/>
  </si>
  <si>
    <t>2025102604:00</t>
    <phoneticPr fontId="42" type="noConversion"/>
  </si>
  <si>
    <t>2025102704:00</t>
    <phoneticPr fontId="42" type="noConversion"/>
  </si>
  <si>
    <t>2025102804:00</t>
    <phoneticPr fontId="42" type="noConversion"/>
  </si>
  <si>
    <t>2025102904:00</t>
    <phoneticPr fontId="42" type="noConversion"/>
  </si>
  <si>
    <t>502 / 295</t>
    <phoneticPr fontId="42" type="noConversion"/>
  </si>
  <si>
    <t>LGD-2513</t>
    <phoneticPr fontId="42" type="noConversion"/>
  </si>
  <si>
    <t>2025103004:00</t>
    <phoneticPr fontId="42" type="noConversion"/>
  </si>
  <si>
    <t>279 / 184</t>
    <phoneticPr fontId="42" type="noConversion"/>
  </si>
  <si>
    <t>140 / 142</t>
    <phoneticPr fontId="42" type="noConversion"/>
  </si>
  <si>
    <t>2025103104:00</t>
    <phoneticPr fontId="42" type="noConversion"/>
  </si>
  <si>
    <t>183 / 142</t>
    <phoneticPr fontId="42" type="noConversion"/>
  </si>
  <si>
    <t>84 / 52</t>
    <phoneticPr fontId="42" type="noConversion"/>
  </si>
  <si>
    <t>27 / 26</t>
    <phoneticPr fontId="42" type="noConversion"/>
  </si>
  <si>
    <t>2025110104:00</t>
    <phoneticPr fontId="42" type="noConversion"/>
  </si>
  <si>
    <t>242 / 158</t>
    <phoneticPr fontId="42" type="noConversion"/>
  </si>
  <si>
    <t>85 / 47</t>
    <phoneticPr fontId="42" type="noConversion"/>
  </si>
  <si>
    <t>2025110204:00</t>
    <phoneticPr fontId="42" type="noConversion"/>
  </si>
  <si>
    <t>243 / 151</t>
    <phoneticPr fontId="42" type="noConversion"/>
  </si>
  <si>
    <t>58 / 47</t>
    <phoneticPr fontId="42" type="noConversion"/>
  </si>
  <si>
    <t>26 / 27</t>
    <phoneticPr fontId="42" type="noConversion"/>
  </si>
  <si>
    <t>2025110304:00</t>
    <phoneticPr fontId="42" type="noConversion"/>
  </si>
  <si>
    <t>512 / 319</t>
    <phoneticPr fontId="42" type="noConversion"/>
  </si>
  <si>
    <t>51 / 50</t>
    <phoneticPr fontId="42" type="noConversion"/>
  </si>
  <si>
    <t>202 / 200</t>
    <phoneticPr fontId="42" type="noConversion"/>
  </si>
  <si>
    <t>2025110404:00</t>
    <phoneticPr fontId="42" type="noConversion"/>
  </si>
  <si>
    <t>233 / 112</t>
    <phoneticPr fontId="42" type="noConversion"/>
  </si>
  <si>
    <t>50 / 74</t>
    <phoneticPr fontId="42" type="noConversion"/>
  </si>
  <si>
    <t>2025110504:00</t>
    <phoneticPr fontId="42" type="noConversion"/>
  </si>
  <si>
    <t>2025110604:00</t>
    <phoneticPr fontId="42" type="noConversion"/>
  </si>
  <si>
    <t>2025110704:00</t>
    <phoneticPr fontId="42" type="noConversion"/>
  </si>
  <si>
    <t>2025110804:00</t>
    <phoneticPr fontId="42" type="noConversion"/>
  </si>
  <si>
    <t>2025110904:00</t>
    <phoneticPr fontId="42" type="noConversion"/>
  </si>
  <si>
    <t>333 / 195</t>
    <phoneticPr fontId="42" type="noConversion"/>
  </si>
  <si>
    <t>30 / 39</t>
    <phoneticPr fontId="42" type="noConversion"/>
  </si>
  <si>
    <t>2025111004:00</t>
    <phoneticPr fontId="42" type="noConversion"/>
  </si>
  <si>
    <t>294 / 182</t>
    <phoneticPr fontId="42" type="noConversion"/>
  </si>
  <si>
    <t>100 / 121</t>
    <phoneticPr fontId="42" type="noConversion"/>
  </si>
  <si>
    <t>29 / 32</t>
    <phoneticPr fontId="42" type="noConversion"/>
  </si>
  <si>
    <t>213 / 133</t>
    <phoneticPr fontId="42" type="noConversion"/>
  </si>
  <si>
    <t>82 / 72</t>
    <phoneticPr fontId="42" type="noConversion"/>
  </si>
  <si>
    <t>2025111104:00</t>
    <phoneticPr fontId="42" type="noConversion"/>
  </si>
  <si>
    <t>2025111204:00</t>
    <phoneticPr fontId="42" type="noConversion"/>
  </si>
  <si>
    <t>BUNKEREDN219</t>
    <phoneticPr fontId="42" type="noConversion"/>
  </si>
  <si>
    <t>2025111304:00</t>
    <phoneticPr fontId="42" type="noConversion"/>
  </si>
  <si>
    <t>2025111404:00</t>
    <phoneticPr fontId="42" type="noConversion"/>
  </si>
  <si>
    <t>639 / 376</t>
    <phoneticPr fontId="42" type="noConversion"/>
  </si>
  <si>
    <t>230 / 230</t>
    <phoneticPr fontId="42" type="noConversion"/>
  </si>
  <si>
    <t>55 / 56</t>
    <phoneticPr fontId="42" type="noConversion"/>
  </si>
  <si>
    <t>2025111504:00</t>
    <phoneticPr fontId="42" type="noConversion"/>
  </si>
  <si>
    <t>APG</t>
    <phoneticPr fontId="42" type="noConversion"/>
  </si>
  <si>
    <t>LGD-2513B</t>
    <phoneticPr fontId="42" type="noConversion"/>
  </si>
  <si>
    <t>250 / 144</t>
    <phoneticPr fontId="42" type="noConversion"/>
  </si>
  <si>
    <t>0 / 68</t>
    <phoneticPr fontId="42" type="noConversion"/>
  </si>
  <si>
    <t>31 / 25</t>
    <phoneticPr fontId="42" type="noConversion"/>
  </si>
  <si>
    <t>2025111604:00</t>
    <phoneticPr fontId="42" type="noConversion"/>
  </si>
  <si>
    <t>2025111704:00</t>
    <phoneticPr fontId="42" type="noConversion"/>
  </si>
  <si>
    <t>2025111904:00</t>
    <phoneticPr fontId="42" type="noConversion"/>
  </si>
  <si>
    <t>2025111804:00</t>
    <phoneticPr fontId="42" type="noConversion"/>
  </si>
  <si>
    <t>2025112004:00</t>
    <phoneticPr fontId="42" type="noConversion"/>
  </si>
  <si>
    <t>2025112104:00</t>
    <phoneticPr fontId="42" type="noConversion"/>
  </si>
  <si>
    <t>2025112204:00</t>
    <phoneticPr fontId="42" type="noConversion"/>
  </si>
  <si>
    <t>2025112304:00</t>
    <phoneticPr fontId="42" type="noConversion"/>
  </si>
  <si>
    <t>2025112404:00</t>
    <phoneticPr fontId="42" type="noConversion"/>
  </si>
  <si>
    <t>2025112504:00</t>
    <phoneticPr fontId="42" type="noConversion"/>
  </si>
  <si>
    <t>2025112604:00</t>
    <phoneticPr fontId="42" type="noConversion"/>
  </si>
  <si>
    <t>加水中</t>
    <phoneticPr fontId="42" type="noConversion"/>
  </si>
  <si>
    <t>2025112704:00</t>
    <phoneticPr fontId="42" type="noConversion"/>
  </si>
  <si>
    <t>加淡水150頓</t>
    <phoneticPr fontId="42" type="noConversion"/>
  </si>
  <si>
    <t>2025112804:00</t>
    <phoneticPr fontId="42" type="noConversion"/>
  </si>
  <si>
    <t>2025112904:00</t>
    <phoneticPr fontId="42" type="noConversion"/>
  </si>
  <si>
    <t>2025113004:00</t>
    <phoneticPr fontId="42" type="noConversion"/>
  </si>
  <si>
    <t>2025120104:00</t>
    <phoneticPr fontId="42" type="noConversion"/>
  </si>
  <si>
    <t>2025120204:00</t>
    <phoneticPr fontId="42" type="noConversion"/>
  </si>
  <si>
    <t>2025120304:00</t>
    <phoneticPr fontId="42" type="noConversion"/>
  </si>
  <si>
    <t>2025120404:00</t>
    <phoneticPr fontId="42" type="noConversion"/>
  </si>
  <si>
    <t>2025120504:00</t>
    <phoneticPr fontId="42" type="noConversion"/>
  </si>
  <si>
    <t>2025120604:00</t>
    <phoneticPr fontId="42" type="noConversion"/>
  </si>
  <si>
    <t>2025120704:00</t>
    <phoneticPr fontId="42" type="noConversion"/>
  </si>
  <si>
    <t>209/187</t>
    <phoneticPr fontId="42" type="noConversion"/>
  </si>
  <si>
    <t>0/0</t>
    <phoneticPr fontId="42" type="noConversion"/>
  </si>
  <si>
    <t>31/39</t>
    <phoneticPr fontId="42" type="noConversion"/>
  </si>
  <si>
    <t>2025120804:00</t>
    <phoneticPr fontId="42" type="noConversion"/>
  </si>
  <si>
    <t>LGD-T62</t>
    <phoneticPr fontId="42" type="noConversion"/>
  </si>
  <si>
    <t>2025120904:00</t>
    <phoneticPr fontId="42" type="noConversion"/>
  </si>
  <si>
    <t>2025121004:00</t>
    <phoneticPr fontId="42" type="noConversion"/>
  </si>
  <si>
    <t>加水中</t>
    <phoneticPr fontId="42" type="noConversion"/>
  </si>
  <si>
    <t>2025121104:00</t>
    <phoneticPr fontId="42" type="noConversion"/>
  </si>
  <si>
    <t>2025121204:00</t>
    <phoneticPr fontId="42" type="noConversion"/>
  </si>
  <si>
    <t>2025121304:00</t>
    <phoneticPr fontId="42" type="noConversion"/>
  </si>
  <si>
    <t>2025121404:00</t>
    <phoneticPr fontId="42" type="noConversion"/>
  </si>
  <si>
    <t>2025121504:00</t>
    <phoneticPr fontId="42" type="noConversion"/>
  </si>
  <si>
    <t>2025121604:00</t>
    <phoneticPr fontId="42" type="noConversion"/>
  </si>
  <si>
    <t>2025121704:00</t>
    <phoneticPr fontId="42" type="noConversion"/>
  </si>
  <si>
    <t>2025121804:00</t>
    <phoneticPr fontId="42" type="noConversion"/>
  </si>
  <si>
    <t>57/56</t>
    <phoneticPr fontId="42" type="noConversion"/>
  </si>
  <si>
    <t>611/370</t>
    <phoneticPr fontId="42" type="noConversion"/>
  </si>
  <si>
    <t>LGD-2516</t>
    <phoneticPr fontId="42" type="noConversion"/>
  </si>
  <si>
    <t>517/313</t>
    <phoneticPr fontId="42" type="noConversion"/>
  </si>
  <si>
    <t>57/38</t>
    <phoneticPr fontId="42" type="noConversion"/>
  </si>
  <si>
    <t>2025121904:00</t>
    <phoneticPr fontId="42" type="noConversion"/>
  </si>
  <si>
    <t>O</t>
    <phoneticPr fontId="42" type="noConversion"/>
  </si>
  <si>
    <t>2025122004:00</t>
    <phoneticPr fontId="42" type="noConversion"/>
  </si>
  <si>
    <t>2025122104:00</t>
    <phoneticPr fontId="42" type="noConversion"/>
  </si>
  <si>
    <t>2025122204:00</t>
    <phoneticPr fontId="42" type="noConversion"/>
  </si>
  <si>
    <t>2025122304:00</t>
    <phoneticPr fontId="42" type="noConversion"/>
  </si>
  <si>
    <t>2025122404:00</t>
    <phoneticPr fontId="42" type="noConversion"/>
  </si>
  <si>
    <t>2025122504:00</t>
    <phoneticPr fontId="42" type="noConversion"/>
  </si>
  <si>
    <t>2025122604:00</t>
    <phoneticPr fontId="42" type="noConversion"/>
  </si>
  <si>
    <t>2025122704:00</t>
    <phoneticPr fontId="42" type="noConversion"/>
  </si>
  <si>
    <t>2025122804:00</t>
    <phoneticPr fontId="42" type="noConversion"/>
  </si>
  <si>
    <t>2025122904:00</t>
    <phoneticPr fontId="42" type="noConversion"/>
  </si>
  <si>
    <t>2025123004:00</t>
    <phoneticPr fontId="42" type="noConversion"/>
  </si>
  <si>
    <t>2025123104:00</t>
    <phoneticPr fontId="42" type="noConversion"/>
  </si>
  <si>
    <t>2026010104:00</t>
    <phoneticPr fontId="42" type="noConversion"/>
  </si>
  <si>
    <t>2026010204:00</t>
    <phoneticPr fontId="42" type="noConversion"/>
  </si>
  <si>
    <t>2026010304:00</t>
    <phoneticPr fontId="42" type="noConversion"/>
  </si>
  <si>
    <t>2026010404:00</t>
    <phoneticPr fontId="42" type="noConversion"/>
  </si>
  <si>
    <t>加水中</t>
    <phoneticPr fontId="42" type="noConversion"/>
  </si>
  <si>
    <t>2026010504:00</t>
    <phoneticPr fontId="42" type="noConversion"/>
  </si>
  <si>
    <t>2026010604:00</t>
    <phoneticPr fontId="42" type="noConversion"/>
  </si>
  <si>
    <t>加水中(已加30頓)</t>
    <phoneticPr fontId="42" type="noConversion"/>
  </si>
  <si>
    <t>1/5、1/6共加100頓</t>
    <phoneticPr fontId="42" type="noConversion"/>
  </si>
  <si>
    <t>402 / 225</t>
    <phoneticPr fontId="42" type="noConversion"/>
  </si>
  <si>
    <t>154 / 153</t>
    <phoneticPr fontId="42" type="noConversion"/>
  </si>
  <si>
    <t>42 / 41</t>
    <phoneticPr fontId="42" type="noConversion"/>
  </si>
  <si>
    <t>LGD-2601</t>
    <phoneticPr fontId="42" type="noConversion"/>
  </si>
  <si>
    <t>2026010704:00</t>
    <phoneticPr fontId="42" type="noConversion"/>
  </si>
  <si>
    <t>337 / 210</t>
    <phoneticPr fontId="42" type="noConversion"/>
  </si>
  <si>
    <t>100 / 86</t>
    <phoneticPr fontId="42" type="noConversion"/>
  </si>
  <si>
    <t>31 / 28</t>
    <phoneticPr fontId="42" type="noConversion"/>
  </si>
  <si>
    <t>2026010804:00</t>
    <phoneticPr fontId="42" type="noConversion"/>
  </si>
  <si>
    <t>235 / 183</t>
    <phoneticPr fontId="42" type="noConversion"/>
  </si>
  <si>
    <t>78 / 94</t>
    <phoneticPr fontId="42" type="noConversion"/>
  </si>
  <si>
    <t>28 / 29</t>
    <phoneticPr fontId="42" type="noConversion"/>
  </si>
  <si>
    <t>2026010904:00</t>
    <phoneticPr fontId="42" type="noConversion"/>
  </si>
  <si>
    <t>644 / 383</t>
    <phoneticPr fontId="42" type="noConversion"/>
  </si>
  <si>
    <t>58 / 59</t>
    <phoneticPr fontId="42" type="noConversion"/>
  </si>
  <si>
    <t>2026011004:00</t>
    <phoneticPr fontId="42" type="noConversion"/>
  </si>
  <si>
    <t>279 / 173</t>
    <phoneticPr fontId="42" type="noConversion"/>
  </si>
  <si>
    <t>85 / 96</t>
    <phoneticPr fontId="42" type="noConversion"/>
  </si>
  <si>
    <t>28 / 30</t>
    <phoneticPr fontId="42" type="noConversion"/>
  </si>
  <si>
    <t>2026011104:00</t>
    <phoneticPr fontId="42" type="noConversion"/>
  </si>
  <si>
    <t>630 / 387</t>
    <phoneticPr fontId="42" type="noConversion"/>
  </si>
  <si>
    <t>57 / 57</t>
    <phoneticPr fontId="42" type="noConversion"/>
  </si>
  <si>
    <t>2026011204:00</t>
    <phoneticPr fontId="42" type="noConversion"/>
  </si>
  <si>
    <t>244 / 187</t>
    <phoneticPr fontId="42" type="noConversion"/>
  </si>
  <si>
    <t>72 / 92</t>
    <phoneticPr fontId="42" type="noConversion"/>
  </si>
  <si>
    <t>27 / 29</t>
    <phoneticPr fontId="42" type="noConversion"/>
  </si>
  <si>
    <t>2026011304:00</t>
    <phoneticPr fontId="42" type="noConversion"/>
  </si>
  <si>
    <t>2026011404:00</t>
    <phoneticPr fontId="42" type="noConversion"/>
  </si>
  <si>
    <t>232 / 184</t>
    <phoneticPr fontId="42" type="noConversion"/>
  </si>
  <si>
    <t>121 / 120</t>
    <phoneticPr fontId="42" type="noConversion"/>
  </si>
  <si>
    <t>2026011504:00</t>
    <phoneticPr fontId="42" type="noConversion"/>
  </si>
  <si>
    <t>2026011604:00</t>
    <phoneticPr fontId="42" type="noConversion"/>
  </si>
  <si>
    <t>2026011704:00</t>
    <phoneticPr fontId="42" type="noConversion"/>
  </si>
  <si>
    <t>C</t>
    <phoneticPr fontId="42" type="noConversion"/>
  </si>
  <si>
    <t>2026011804:00</t>
    <phoneticPr fontId="42" type="noConversion"/>
  </si>
  <si>
    <t>2026011904:00</t>
    <phoneticPr fontId="42" type="noConversion"/>
  </si>
  <si>
    <t>2026012004:00</t>
    <phoneticPr fontId="42" type="noConversion"/>
  </si>
  <si>
    <t>669 / 375</t>
    <phoneticPr fontId="42" type="noConversion"/>
  </si>
  <si>
    <t>58 / 60</t>
    <phoneticPr fontId="42" type="noConversion"/>
  </si>
  <si>
    <t>LGD-T63</t>
    <phoneticPr fontId="42" type="noConversion"/>
  </si>
  <si>
    <t>LGD-T64</t>
    <phoneticPr fontId="42" type="noConversion"/>
  </si>
  <si>
    <t>2026012104:00</t>
    <phoneticPr fontId="42" type="noConversion"/>
  </si>
  <si>
    <t>403/ 244</t>
    <phoneticPr fontId="42" type="noConversion"/>
  </si>
  <si>
    <t>164/ 164</t>
    <phoneticPr fontId="42" type="noConversion"/>
  </si>
  <si>
    <t>259/ 144</t>
    <phoneticPr fontId="42" type="noConversion"/>
  </si>
  <si>
    <t>50/ 51</t>
    <phoneticPr fontId="42" type="noConversion"/>
  </si>
  <si>
    <t>26/ 25</t>
    <phoneticPr fontId="42" type="noConversion"/>
  </si>
  <si>
    <t>2026012204:00</t>
    <phoneticPr fontId="42" type="noConversion"/>
  </si>
  <si>
    <t>293/ 174</t>
    <phoneticPr fontId="42" type="noConversion"/>
  </si>
  <si>
    <t>37/ 36</t>
    <phoneticPr fontId="42" type="noConversion"/>
  </si>
  <si>
    <t>2026012304:00</t>
    <phoneticPr fontId="42" type="noConversion"/>
  </si>
  <si>
    <t>2026012404:00</t>
    <phoneticPr fontId="42" type="noConversion"/>
  </si>
  <si>
    <t>661 / 394</t>
    <phoneticPr fontId="42" type="noConversion"/>
  </si>
  <si>
    <t>210 / 212</t>
    <phoneticPr fontId="42" type="noConversion"/>
  </si>
  <si>
    <t>2026012504:00</t>
    <phoneticPr fontId="42" type="noConversion"/>
  </si>
  <si>
    <t>LGD-T65</t>
    <phoneticPr fontId="42" type="noConversion"/>
  </si>
  <si>
    <t>300 / 192</t>
    <phoneticPr fontId="42" type="noConversion"/>
  </si>
  <si>
    <t>109 / 113</t>
    <phoneticPr fontId="42" type="noConversion"/>
  </si>
  <si>
    <t>31 / 31</t>
    <phoneticPr fontId="42" type="noConversion"/>
  </si>
  <si>
    <t>2026012604:00</t>
    <phoneticPr fontId="42" type="noConversion"/>
  </si>
  <si>
    <t>2026012704:00</t>
    <phoneticPr fontId="42" type="noConversion"/>
  </si>
  <si>
    <t>2026012804:00</t>
    <phoneticPr fontId="42" type="noConversion"/>
  </si>
  <si>
    <t>2026012904:00</t>
    <phoneticPr fontId="42" type="noConversion"/>
  </si>
  <si>
    <t>180/142</t>
    <phoneticPr fontId="42" type="noConversion"/>
  </si>
  <si>
    <t>2026013004:00</t>
    <phoneticPr fontId="42" type="noConversion"/>
  </si>
  <si>
    <t>LGD-T65-1</t>
    <phoneticPr fontId="42" type="noConversion"/>
  </si>
  <si>
    <t>2026013104:00</t>
    <phoneticPr fontId="42" type="noConversion"/>
  </si>
  <si>
    <t>DOCKING</t>
    <phoneticPr fontId="42" type="noConversion"/>
  </si>
  <si>
    <t>2026020104:00</t>
    <phoneticPr fontId="42" type="noConversion"/>
  </si>
  <si>
    <t>2026020204:00</t>
    <phoneticPr fontId="42" type="noConversion"/>
  </si>
  <si>
    <t>2026020304:00</t>
    <phoneticPr fontId="42" type="noConversion"/>
  </si>
  <si>
    <t>2026020404:00</t>
    <phoneticPr fontId="42" type="noConversion"/>
  </si>
  <si>
    <t>2026020504:00</t>
    <phoneticPr fontId="42" type="noConversion"/>
  </si>
  <si>
    <t>2026020604:00</t>
    <phoneticPr fontId="42" type="noConversion"/>
  </si>
  <si>
    <t>2026020704:00</t>
    <phoneticPr fontId="42" type="noConversion"/>
  </si>
  <si>
    <t>2026020804:00</t>
    <phoneticPr fontId="42" type="noConversion"/>
  </si>
  <si>
    <t>2026020904:00</t>
    <phoneticPr fontId="42" type="noConversion"/>
  </si>
  <si>
    <t>2026021004:00</t>
    <phoneticPr fontId="42" type="noConversion"/>
  </si>
  <si>
    <t>DOCKING(加淡水70頓)</t>
    <phoneticPr fontId="42" type="noConversion"/>
  </si>
  <si>
    <t>2026021104:00</t>
    <phoneticPr fontId="42" type="noConversion"/>
  </si>
  <si>
    <t>2026021204:00</t>
    <phoneticPr fontId="42" type="noConversion"/>
  </si>
  <si>
    <t>LGD-T65-B</t>
    <phoneticPr fontId="42" type="noConversion"/>
  </si>
  <si>
    <t>2026021304:00</t>
    <phoneticPr fontId="42" type="noConversion"/>
  </si>
  <si>
    <t>322/211</t>
    <phoneticPr fontId="42" type="noConversion"/>
  </si>
  <si>
    <t>91/104</t>
    <phoneticPr fontId="42" type="noConversion"/>
  </si>
  <si>
    <t>BUNKER250</t>
    <phoneticPr fontId="42" type="noConversion"/>
  </si>
  <si>
    <t>加水中</t>
    <phoneticPr fontId="42" type="noConversion"/>
  </si>
  <si>
    <t>2026021404:00</t>
    <phoneticPr fontId="42" type="noConversion"/>
  </si>
  <si>
    <t>加水150頓</t>
    <phoneticPr fontId="42" type="noConversion"/>
  </si>
  <si>
    <t>2026021604:00</t>
    <phoneticPr fontId="42" type="noConversion"/>
  </si>
  <si>
    <t>2026021504:00</t>
    <phoneticPr fontId="42" type="noConversion"/>
  </si>
  <si>
    <t>2026021704:00</t>
    <phoneticPr fontId="42" type="noConversion"/>
  </si>
  <si>
    <t>2026021804:00</t>
    <phoneticPr fontId="42" type="noConversion"/>
  </si>
  <si>
    <t>2026021904:00</t>
    <phoneticPr fontId="42" type="noConversion"/>
  </si>
  <si>
    <t>2026022004:00</t>
    <phoneticPr fontId="42" type="noConversion"/>
  </si>
  <si>
    <t>2026022104:00</t>
    <phoneticPr fontId="42" type="noConversion"/>
  </si>
  <si>
    <t>2026022204:00</t>
    <phoneticPr fontId="42" type="noConversion"/>
  </si>
  <si>
    <t>2026022304:00</t>
    <phoneticPr fontId="42" type="noConversion"/>
  </si>
  <si>
    <t>2026022404:00</t>
    <phoneticPr fontId="42" type="noConversion"/>
  </si>
  <si>
    <t>2026022504:00</t>
    <phoneticPr fontId="42" type="noConversion"/>
  </si>
  <si>
    <t>2026022604:00</t>
    <phoneticPr fontId="42" type="noConversion"/>
  </si>
  <si>
    <t>2026022704:00</t>
    <phoneticPr fontId="42" type="noConversion"/>
  </si>
  <si>
    <t>2026022804:00</t>
    <phoneticPr fontId="42" type="noConversion"/>
  </si>
  <si>
    <t>2026030104:00</t>
    <phoneticPr fontId="42" type="noConversion"/>
  </si>
  <si>
    <t>410 / 252</t>
    <phoneticPr fontId="42" type="noConversion"/>
  </si>
  <si>
    <t>167 / 165</t>
    <phoneticPr fontId="42" type="noConversion"/>
  </si>
  <si>
    <t>LGD-T66</t>
    <phoneticPr fontId="42" type="noConversion"/>
  </si>
  <si>
    <t>2026030204:00</t>
    <phoneticPr fontId="42" type="noConversion"/>
  </si>
  <si>
    <t>210 / 149</t>
    <phoneticPr fontId="42" type="noConversion"/>
  </si>
  <si>
    <t>71 / 90</t>
    <phoneticPr fontId="42" type="noConversion"/>
  </si>
  <si>
    <t>2026030304:00</t>
    <phoneticPr fontId="42" type="noConversion"/>
  </si>
  <si>
    <t>263 / 166</t>
    <phoneticPr fontId="42" type="noConversion"/>
  </si>
  <si>
    <t>92 / 89</t>
    <phoneticPr fontId="42" type="noConversion"/>
  </si>
  <si>
    <t>2026030404:00</t>
    <phoneticPr fontId="42" type="noConversion"/>
  </si>
  <si>
    <t>2026030504:00</t>
    <phoneticPr fontId="42" type="noConversion"/>
  </si>
  <si>
    <t>2026030604:00</t>
    <phoneticPr fontId="42" type="noConversion"/>
  </si>
  <si>
    <t>加淡水206頓</t>
    <phoneticPr fontId="42" type="noConversion"/>
  </si>
  <si>
    <t>2026030704:00</t>
    <phoneticPr fontId="42" type="noConversion"/>
  </si>
  <si>
    <t>2026030804:00</t>
    <phoneticPr fontId="42" type="noConversion"/>
  </si>
  <si>
    <t>2026030904:00</t>
    <phoneticPr fontId="42" type="noConversion"/>
  </si>
  <si>
    <t>2026031004:00</t>
    <phoneticPr fontId="42" type="noConversion"/>
  </si>
  <si>
    <t>722/443</t>
    <phoneticPr fontId="42" type="noConversion"/>
  </si>
  <si>
    <t>230/230</t>
    <phoneticPr fontId="42" type="noConversion"/>
  </si>
  <si>
    <t>62/63</t>
    <phoneticPr fontId="42" type="noConversion"/>
  </si>
  <si>
    <t>644/379</t>
    <phoneticPr fontId="42" type="noConversion"/>
  </si>
  <si>
    <t>2026031104:00</t>
    <phoneticPr fontId="42" type="noConversion"/>
  </si>
  <si>
    <t>LGD-2602</t>
    <phoneticPr fontId="42" type="noConversion"/>
  </si>
  <si>
    <t>620/385</t>
    <phoneticPr fontId="42" type="noConversion"/>
  </si>
  <si>
    <t>220/219</t>
    <phoneticPr fontId="42" type="noConversion"/>
  </si>
  <si>
    <t>55/58</t>
    <phoneticPr fontId="42" type="noConversion"/>
  </si>
  <si>
    <t>2026031204:00</t>
    <phoneticPr fontId="42" type="noConversion"/>
  </si>
  <si>
    <t>275/199</t>
    <phoneticPr fontId="42" type="noConversion"/>
  </si>
  <si>
    <t>27/26</t>
    <phoneticPr fontId="42" type="noConversion"/>
  </si>
  <si>
    <t>2026031304:00</t>
    <phoneticPr fontId="42" type="noConversion"/>
  </si>
  <si>
    <t>226/168</t>
    <phoneticPr fontId="42" type="noConversion"/>
  </si>
  <si>
    <t>63/63</t>
    <phoneticPr fontId="42" type="noConversion"/>
  </si>
  <si>
    <t>2026031404:00</t>
    <phoneticPr fontId="42" type="noConversion"/>
  </si>
  <si>
    <t>198/136</t>
    <phoneticPr fontId="42" type="noConversion"/>
  </si>
  <si>
    <t>63/47</t>
    <phoneticPr fontId="42" type="noConversion"/>
  </si>
  <si>
    <t>2026031504:00</t>
    <phoneticPr fontId="42" type="noConversion"/>
  </si>
  <si>
    <t>227/180</t>
    <phoneticPr fontId="42" type="noConversion"/>
  </si>
  <si>
    <t>67/74</t>
    <phoneticPr fontId="42" type="noConversion"/>
  </si>
  <si>
    <t>2026031604:00</t>
    <phoneticPr fontId="42" type="noConversion"/>
  </si>
  <si>
    <t>136/136</t>
    <phoneticPr fontId="42" type="noConversion"/>
  </si>
  <si>
    <t>33/33</t>
    <phoneticPr fontId="42" type="noConversion"/>
  </si>
  <si>
    <t>376/239</t>
    <phoneticPr fontId="42" type="noConversion"/>
  </si>
  <si>
    <t>2026031704:00</t>
    <phoneticPr fontId="42" type="noConversion"/>
  </si>
  <si>
    <t>519/320</t>
    <phoneticPr fontId="42" type="noConversion"/>
  </si>
  <si>
    <t>47/47</t>
    <phoneticPr fontId="42" type="noConversion"/>
  </si>
  <si>
    <t>2026031804:00</t>
    <phoneticPr fontId="42" type="noConversion"/>
  </si>
  <si>
    <t>328/216</t>
    <phoneticPr fontId="42" type="noConversion"/>
  </si>
  <si>
    <t>2026031904:00</t>
    <phoneticPr fontId="42" type="noConversion"/>
  </si>
  <si>
    <t>O</t>
    <phoneticPr fontId="42" type="noConversion"/>
  </si>
  <si>
    <t>337/217</t>
    <phoneticPr fontId="42" type="noConversion"/>
  </si>
  <si>
    <t>130/130</t>
    <phoneticPr fontId="42" type="noConversion"/>
  </si>
  <si>
    <t>34/36</t>
    <phoneticPr fontId="42" type="noConversion"/>
  </si>
  <si>
    <t>2026032004:00</t>
    <phoneticPr fontId="42" type="noConversion"/>
  </si>
  <si>
    <t>#2#3#4</t>
    <phoneticPr fontId="42" type="noConversion"/>
  </si>
  <si>
    <t>270/150/130</t>
    <phoneticPr fontId="42" type="noConversion"/>
  </si>
  <si>
    <t>29/28</t>
    <phoneticPr fontId="42" type="noConversion"/>
  </si>
  <si>
    <t>110/110</t>
    <phoneticPr fontId="42" type="noConversion"/>
  </si>
  <si>
    <t>2026032104:00</t>
    <phoneticPr fontId="42" type="noConversion"/>
  </si>
  <si>
    <t>2026032204:00</t>
    <phoneticPr fontId="42" type="noConversion"/>
  </si>
  <si>
    <t>加水50頓</t>
    <phoneticPr fontId="42" type="noConversion"/>
  </si>
  <si>
    <t>2026032304:00</t>
    <phoneticPr fontId="42" type="noConversion"/>
  </si>
  <si>
    <t>215/200</t>
    <phoneticPr fontId="42" type="noConversion"/>
  </si>
  <si>
    <t>2026032404:00</t>
    <phoneticPr fontId="42" type="noConversion"/>
  </si>
  <si>
    <t>608/383</t>
    <phoneticPr fontId="42" type="noConversion"/>
  </si>
  <si>
    <t>2026032504:00</t>
    <phoneticPr fontId="42" type="noConversion"/>
  </si>
  <si>
    <t>LGD-2602-1</t>
    <phoneticPr fontId="42" type="noConversion"/>
  </si>
  <si>
    <t>201/145</t>
    <phoneticPr fontId="42" type="noConversion"/>
  </si>
  <si>
    <t>75/50</t>
    <phoneticPr fontId="42" type="noConversion"/>
  </si>
  <si>
    <t>2026032604:00</t>
    <phoneticPr fontId="42" type="noConversion"/>
  </si>
  <si>
    <t>254/168</t>
    <phoneticPr fontId="42" type="noConversion"/>
  </si>
  <si>
    <t>94/84</t>
    <phoneticPr fontId="42" type="noConversion"/>
  </si>
  <si>
    <t>28/26</t>
    <phoneticPr fontId="42" type="noConversion"/>
  </si>
  <si>
    <t>2026032704:00</t>
    <phoneticPr fontId="42" type="noConversion"/>
  </si>
  <si>
    <t>288/184</t>
    <phoneticPr fontId="42" type="noConversion"/>
  </si>
  <si>
    <t>36/31</t>
    <phoneticPr fontId="42" type="noConversion"/>
  </si>
  <si>
    <t>131/112</t>
    <phoneticPr fontId="42" type="noConversion"/>
  </si>
  <si>
    <t>2026032804:00</t>
    <phoneticPr fontId="42" type="noConversion"/>
  </si>
  <si>
    <t>2026032904:00</t>
    <phoneticPr fontId="42" type="noConversion"/>
  </si>
  <si>
    <t>452/254</t>
    <phoneticPr fontId="42" type="noConversion"/>
  </si>
  <si>
    <t>150/142</t>
    <phoneticPr fontId="42" type="noConversion"/>
  </si>
  <si>
    <t>37/35</t>
    <phoneticPr fontId="42" type="noConversion"/>
  </si>
  <si>
    <t>243/193</t>
    <phoneticPr fontId="42" type="noConversion"/>
  </si>
  <si>
    <t>91/91</t>
    <phoneticPr fontId="42" type="noConversion"/>
  </si>
  <si>
    <t>2026033004:00</t>
    <phoneticPr fontId="42" type="noConversion"/>
  </si>
  <si>
    <t>196/127</t>
    <phoneticPr fontId="42" type="noConversion"/>
  </si>
  <si>
    <t>59/54</t>
    <phoneticPr fontId="42" type="noConversion"/>
  </si>
  <si>
    <t>26/25</t>
    <phoneticPr fontId="42" type="noConversion"/>
  </si>
  <si>
    <t>2026033104:00</t>
    <phoneticPr fontId="42" type="noConversion"/>
  </si>
  <si>
    <t>649/ 439</t>
    <phoneticPr fontId="42" type="noConversion"/>
  </si>
  <si>
    <t>230/ 230</t>
    <phoneticPr fontId="42" type="noConversion"/>
  </si>
  <si>
    <t>56/ 56</t>
    <phoneticPr fontId="42" type="noConversion"/>
  </si>
  <si>
    <t>2026040104:00</t>
    <phoneticPr fontId="42" type="noConversion"/>
  </si>
  <si>
    <t>2026040204:00</t>
    <phoneticPr fontId="42" type="noConversion"/>
  </si>
  <si>
    <t>加水中</t>
    <phoneticPr fontId="42" type="noConversion"/>
  </si>
  <si>
    <t>2026040304:00</t>
    <phoneticPr fontId="42" type="noConversion"/>
  </si>
  <si>
    <t>加水100頓</t>
    <phoneticPr fontId="42" type="noConversion"/>
  </si>
  <si>
    <t>2026040404:00</t>
    <phoneticPr fontId="42" type="noConversion"/>
  </si>
  <si>
    <t>2026040504:00</t>
    <phoneticPr fontId="42" type="noConversion"/>
  </si>
  <si>
    <t>C</t>
    <phoneticPr fontId="42" type="noConversion"/>
  </si>
  <si>
    <t>2026040604:00</t>
    <phoneticPr fontId="42" type="noConversion"/>
  </si>
  <si>
    <t>2026040704:00</t>
    <phoneticPr fontId="42" type="noConversion"/>
  </si>
  <si>
    <t>622/329</t>
    <phoneticPr fontId="42" type="noConversion"/>
  </si>
  <si>
    <t>54/54</t>
    <phoneticPr fontId="42" type="noConversion"/>
  </si>
  <si>
    <t>LGD-2603</t>
    <phoneticPr fontId="42" type="noConversion"/>
  </si>
  <si>
    <t>2026040804:00</t>
    <phoneticPr fontId="42" type="noConversion"/>
  </si>
  <si>
    <t>252/166</t>
    <phoneticPr fontId="42" type="noConversion"/>
  </si>
  <si>
    <t>81/90</t>
    <phoneticPr fontId="42" type="noConversion"/>
  </si>
  <si>
    <t>27/29</t>
    <phoneticPr fontId="42" type="noConversion"/>
  </si>
  <si>
    <t>2026040904:00</t>
    <phoneticPr fontId="42" type="noConversion"/>
  </si>
  <si>
    <t>381/240</t>
    <phoneticPr fontId="42" type="noConversion"/>
  </si>
  <si>
    <t>152/154</t>
    <phoneticPr fontId="42" type="noConversion"/>
  </si>
  <si>
    <t>36/38</t>
    <phoneticPr fontId="42" type="noConversion"/>
  </si>
  <si>
    <t>2026041004:00</t>
    <phoneticPr fontId="42" type="noConversion"/>
  </si>
  <si>
    <t>256/170</t>
    <phoneticPr fontId="42" type="noConversion"/>
  </si>
  <si>
    <t>51/53</t>
    <phoneticPr fontId="42" type="noConversion"/>
  </si>
  <si>
    <t>2026041104:00</t>
    <phoneticPr fontId="42" type="noConversion"/>
  </si>
  <si>
    <t>276/169</t>
    <phoneticPr fontId="42" type="noConversion"/>
  </si>
  <si>
    <t>91/100</t>
    <phoneticPr fontId="42" type="noConversion"/>
  </si>
  <si>
    <t>2026041204:00</t>
    <phoneticPr fontId="42" type="noConversion"/>
  </si>
  <si>
    <t>219/148</t>
    <phoneticPr fontId="42" type="noConversion"/>
  </si>
  <si>
    <t>58/67</t>
    <phoneticPr fontId="42" type="noConversion"/>
  </si>
  <si>
    <t>2026041304:00</t>
    <phoneticPr fontId="42" type="noConversion"/>
  </si>
  <si>
    <t>248/169</t>
    <phoneticPr fontId="42" type="noConversion"/>
  </si>
  <si>
    <t>82/78</t>
    <phoneticPr fontId="42" type="noConversion"/>
  </si>
  <si>
    <t>2026041404:00</t>
    <phoneticPr fontId="42" type="noConversion"/>
  </si>
  <si>
    <t>358/198</t>
    <phoneticPr fontId="42" type="noConversion"/>
  </si>
  <si>
    <t>165/135</t>
    <phoneticPr fontId="42" type="noConversion"/>
  </si>
  <si>
    <t>39/35</t>
    <phoneticPr fontId="42" type="noConversion"/>
  </si>
  <si>
    <t>2026041504:00</t>
    <phoneticPr fontId="42" type="noConversion"/>
  </si>
  <si>
    <t>319/214</t>
    <phoneticPr fontId="42" type="noConversion"/>
  </si>
  <si>
    <t>128/149</t>
    <phoneticPr fontId="42" type="noConversion"/>
  </si>
  <si>
    <t>32/36</t>
    <phoneticPr fontId="42" type="noConversion"/>
  </si>
  <si>
    <t>2026041604:00</t>
    <phoneticPr fontId="42" type="noConversion"/>
  </si>
  <si>
    <t>246/175</t>
    <phoneticPr fontId="42" type="noConversion"/>
  </si>
  <si>
    <t>80/47</t>
    <phoneticPr fontId="42" type="noConversion"/>
  </si>
  <si>
    <t>2026041704:00</t>
    <phoneticPr fontId="42" type="noConversion"/>
  </si>
  <si>
    <t>322/210</t>
    <phoneticPr fontId="42" type="noConversion"/>
  </si>
  <si>
    <t>23/22</t>
    <phoneticPr fontId="42" type="noConversion"/>
  </si>
  <si>
    <t>2026041804:00</t>
    <phoneticPr fontId="42" type="noConversion"/>
  </si>
  <si>
    <t>251/157</t>
    <phoneticPr fontId="42" type="noConversion"/>
  </si>
  <si>
    <t>61/71</t>
    <phoneticPr fontId="42" type="noConversion"/>
  </si>
  <si>
    <t>2026041904:00</t>
    <phoneticPr fontId="42" type="noConversion"/>
  </si>
  <si>
    <t>52/53</t>
    <phoneticPr fontId="42" type="noConversion"/>
  </si>
  <si>
    <t>2026042004:00</t>
    <phoneticPr fontId="42" type="noConversion"/>
  </si>
  <si>
    <t>601/385</t>
    <phoneticPr fontId="42" type="noConversion"/>
  </si>
  <si>
    <t>614/381</t>
    <phoneticPr fontId="42" type="noConversion"/>
  </si>
  <si>
    <t>2026042104:00</t>
    <phoneticPr fontId="42" type="noConversion"/>
  </si>
  <si>
    <t>2026042204:00</t>
    <phoneticPr fontId="42" type="noConversion"/>
  </si>
  <si>
    <t>加油中</t>
    <phoneticPr fontId="42" type="noConversion"/>
  </si>
  <si>
    <t>LGD-2603B</t>
    <phoneticPr fontId="42" type="noConversion"/>
  </si>
  <si>
    <t>2026042304:00</t>
    <phoneticPr fontId="42" type="noConversion"/>
  </si>
  <si>
    <t>313/ 211</t>
    <phoneticPr fontId="42" type="noConversion"/>
  </si>
  <si>
    <t>35/ 34</t>
    <phoneticPr fontId="42" type="noConversion"/>
  </si>
  <si>
    <t>加淡水198頓</t>
    <phoneticPr fontId="42" type="noConversion"/>
  </si>
  <si>
    <t>2026042404:00</t>
    <phoneticPr fontId="42" type="noConversion"/>
  </si>
  <si>
    <t>2026042504:00</t>
    <phoneticPr fontId="42" type="noConversion"/>
  </si>
  <si>
    <t>2026042604:00</t>
    <phoneticPr fontId="42" type="noConversion"/>
  </si>
  <si>
    <t>545 / 326</t>
    <phoneticPr fontId="42" type="noConversion"/>
  </si>
  <si>
    <t>49 / 49</t>
    <phoneticPr fontId="42" type="noConversion"/>
  </si>
  <si>
    <t>LGD-2604</t>
    <phoneticPr fontId="42" type="noConversion"/>
  </si>
  <si>
    <t>2026042704:00</t>
    <phoneticPr fontId="42" type="noConversion"/>
  </si>
  <si>
    <t>297 / 168</t>
    <phoneticPr fontId="42" type="noConversion"/>
  </si>
  <si>
    <t>124 / 123</t>
    <phoneticPr fontId="42" type="noConversion"/>
  </si>
  <si>
    <t>2026042804:00</t>
    <phoneticPr fontId="42" type="noConversion"/>
  </si>
  <si>
    <t>540 / 321</t>
    <phoneticPr fontId="42" type="noConversion"/>
  </si>
  <si>
    <t>46 / 46</t>
    <phoneticPr fontId="42" type="noConversion"/>
  </si>
  <si>
    <t>2026042904:00</t>
    <phoneticPr fontId="42" type="noConversion"/>
  </si>
  <si>
    <t>614 / 367</t>
    <phoneticPr fontId="42" type="noConversion"/>
  </si>
  <si>
    <t>220 / 219</t>
    <phoneticPr fontId="42" type="noConversion"/>
  </si>
  <si>
    <t>53 / 52</t>
    <phoneticPr fontId="42" type="noConversion"/>
  </si>
  <si>
    <t>2026043004:00</t>
    <phoneticPr fontId="42" type="noConversion"/>
  </si>
  <si>
    <t>O</t>
    <phoneticPr fontId="42" type="noConversion"/>
  </si>
  <si>
    <t>279 / 183</t>
    <phoneticPr fontId="42" type="noConversion"/>
  </si>
  <si>
    <t>95 / 134</t>
    <phoneticPr fontId="42" type="noConversion"/>
  </si>
  <si>
    <t>28 / 35</t>
    <phoneticPr fontId="42" type="noConversion"/>
  </si>
  <si>
    <t>2026050104:00</t>
    <phoneticPr fontId="42" type="noConversion"/>
  </si>
  <si>
    <t>353 / 236</t>
    <phoneticPr fontId="42" type="noConversion"/>
  </si>
  <si>
    <t>110 / 135</t>
    <phoneticPr fontId="42" type="noConversion"/>
  </si>
  <si>
    <t>30 / 34</t>
    <phoneticPr fontId="42" type="noConversion"/>
  </si>
  <si>
    <t>2026050204:00</t>
    <phoneticPr fontId="42" type="noConversion"/>
  </si>
  <si>
    <t>2026050304:00</t>
    <phoneticPr fontId="42" type="noConversion"/>
  </si>
  <si>
    <t>2026050404:00</t>
    <phoneticPr fontId="42" type="noConversion"/>
  </si>
  <si>
    <t>2026050504:00</t>
    <phoneticPr fontId="42" type="noConversion"/>
  </si>
  <si>
    <t>565 / 335</t>
    <phoneticPr fontId="42" type="noConversion"/>
  </si>
  <si>
    <t>208 / 210</t>
    <phoneticPr fontId="42" type="noConversion"/>
  </si>
  <si>
    <t>49 / 51</t>
    <phoneticPr fontId="42" type="noConversion"/>
  </si>
  <si>
    <t>LGD-2605</t>
    <phoneticPr fontId="42" type="noConversion"/>
  </si>
  <si>
    <t>2026050604:00</t>
    <phoneticPr fontId="42" type="noConversion"/>
  </si>
  <si>
    <t>611 / 376</t>
    <phoneticPr fontId="42" type="noConversion"/>
  </si>
  <si>
    <t>220 / 220</t>
    <phoneticPr fontId="42" type="noConversion"/>
  </si>
  <si>
    <t>2026050704:00</t>
    <phoneticPr fontId="42" type="noConversion"/>
  </si>
  <si>
    <t>593 / 384</t>
    <phoneticPr fontId="42" type="noConversion"/>
  </si>
  <si>
    <t>221 / 220</t>
    <phoneticPr fontId="42" type="noConversion"/>
  </si>
  <si>
    <t>2026050804:00</t>
    <phoneticPr fontId="42" type="noConversion"/>
  </si>
  <si>
    <t>207 / 172</t>
    <phoneticPr fontId="42" type="noConversion"/>
  </si>
  <si>
    <t>66 / 72</t>
    <phoneticPr fontId="42" type="noConversion"/>
  </si>
  <si>
    <t>2026050904:00</t>
    <phoneticPr fontId="42" type="noConversion"/>
  </si>
  <si>
    <t>314 / 184</t>
    <phoneticPr fontId="42" type="noConversion"/>
  </si>
  <si>
    <t>34 / 34</t>
    <phoneticPr fontId="42" type="noConversion"/>
  </si>
  <si>
    <t>2026051004:00</t>
    <phoneticPr fontId="42" type="noConversion"/>
  </si>
  <si>
    <t>479 / 315</t>
    <phoneticPr fontId="42" type="noConversion"/>
  </si>
  <si>
    <t>195 / 194</t>
    <phoneticPr fontId="42" type="noConversion"/>
  </si>
  <si>
    <t>45 / 45</t>
    <phoneticPr fontId="42" type="noConversion"/>
  </si>
  <si>
    <t>2026051104:00</t>
    <phoneticPr fontId="42" type="noConversion"/>
  </si>
  <si>
    <t>643 / 402</t>
    <phoneticPr fontId="42" type="noConversion"/>
  </si>
  <si>
    <t>54 / 54</t>
    <phoneticPr fontId="42" type="noConversion"/>
  </si>
  <si>
    <t>2026051204:00</t>
    <phoneticPr fontId="42" type="noConversion"/>
  </si>
  <si>
    <t>332 / 198</t>
    <phoneticPr fontId="42" type="noConversion"/>
  </si>
  <si>
    <t>142 / 139</t>
    <phoneticPr fontId="42" type="noConversion"/>
  </si>
  <si>
    <t>34 / 33</t>
    <phoneticPr fontId="42" type="noConversion"/>
  </si>
  <si>
    <t>2026051304:00</t>
    <phoneticPr fontId="42" type="noConversion"/>
  </si>
  <si>
    <t>587 / 350</t>
    <phoneticPr fontId="42" type="noConversion"/>
  </si>
  <si>
    <t>219 / 220</t>
    <phoneticPr fontId="42" type="noConversion"/>
  </si>
  <si>
    <t>2026051404:00</t>
    <phoneticPr fontId="42" type="noConversion"/>
  </si>
  <si>
    <t>221 / 156</t>
    <phoneticPr fontId="42" type="noConversion"/>
  </si>
  <si>
    <t>70 / 69</t>
    <phoneticPr fontId="42" type="noConversion"/>
  </si>
  <si>
    <t>2026051504:00</t>
    <phoneticPr fontId="42" type="noConversion"/>
  </si>
  <si>
    <t>加淡水135頓</t>
    <phoneticPr fontId="42" type="noConversion"/>
  </si>
  <si>
    <t>2026051604:00</t>
    <phoneticPr fontId="42" type="noConversion"/>
  </si>
  <si>
    <t>2026051704:00</t>
    <phoneticPr fontId="42" type="noConversion"/>
  </si>
  <si>
    <t>2026051804:00</t>
    <phoneticPr fontId="42" type="noConversion"/>
  </si>
  <si>
    <t>LGD-2606</t>
    <phoneticPr fontId="42" type="noConversion"/>
  </si>
  <si>
    <t>2026051904:00</t>
    <phoneticPr fontId="42" type="noConversion"/>
  </si>
  <si>
    <t>624 / 384</t>
    <phoneticPr fontId="42" type="noConversion"/>
  </si>
  <si>
    <t>54 / 55</t>
    <phoneticPr fontId="42" type="noConversion"/>
  </si>
  <si>
    <t>462 / 284</t>
    <phoneticPr fontId="42" type="noConversion"/>
  </si>
  <si>
    <t>191 / 192</t>
    <phoneticPr fontId="42" type="noConversion"/>
  </si>
  <si>
    <t>42 / 45</t>
    <phoneticPr fontId="42" type="noConversion"/>
  </si>
  <si>
    <t>2026052004:00</t>
    <phoneticPr fontId="42" type="noConversion"/>
  </si>
  <si>
    <t>587 / 369</t>
    <phoneticPr fontId="42" type="noConversion"/>
  </si>
  <si>
    <t>2026052104:00</t>
    <phoneticPr fontId="42" type="noConversion"/>
  </si>
  <si>
    <t>541 / 324</t>
    <phoneticPr fontId="42" type="noConversion"/>
  </si>
  <si>
    <t>2026052204:00</t>
    <phoneticPr fontId="42" type="noConversion"/>
  </si>
  <si>
    <t>246 / 192</t>
    <phoneticPr fontId="42" type="noConversion"/>
  </si>
  <si>
    <t>125 / 125</t>
    <phoneticPr fontId="42" type="noConversion"/>
  </si>
  <si>
    <t>30 / 30</t>
    <phoneticPr fontId="42" type="noConversion"/>
  </si>
  <si>
    <t>2026052304:00</t>
    <phoneticPr fontId="42" type="noConversion"/>
  </si>
  <si>
    <t>474 / 282</t>
    <phoneticPr fontId="42" type="noConversion"/>
  </si>
  <si>
    <t>195 / 196</t>
    <phoneticPr fontId="42" type="noConversion"/>
  </si>
  <si>
    <t>45 / 47</t>
    <phoneticPr fontId="42" type="noConversion"/>
  </si>
  <si>
    <t>2026052404:00</t>
    <phoneticPr fontId="42" type="noConversion"/>
  </si>
  <si>
    <t>343 / 214</t>
    <phoneticPr fontId="42" type="noConversion"/>
  </si>
  <si>
    <t>163 / 161</t>
    <phoneticPr fontId="42" type="noConversion"/>
  </si>
  <si>
    <t>38 / 36</t>
    <phoneticPr fontId="42" type="noConversion"/>
  </si>
  <si>
    <t>2026052504:00</t>
    <phoneticPr fontId="42" type="noConversion"/>
  </si>
  <si>
    <t>550 / 345</t>
    <phoneticPr fontId="42" type="noConversion"/>
  </si>
  <si>
    <t>51 / 52</t>
    <phoneticPr fontId="42" type="noConversion"/>
  </si>
  <si>
    <t>2026052604:00</t>
    <phoneticPr fontId="42" type="noConversion"/>
  </si>
  <si>
    <t>541 / 347</t>
    <phoneticPr fontId="42" type="noConversion"/>
  </si>
  <si>
    <t>2026052704:00</t>
    <phoneticPr fontId="42" type="noConversion"/>
  </si>
  <si>
    <t>234 / 173</t>
    <phoneticPr fontId="42" type="noConversion"/>
  </si>
  <si>
    <t>30 / 31</t>
    <phoneticPr fontId="42" type="noConversion"/>
  </si>
  <si>
    <t>2026052804:00</t>
    <phoneticPr fontId="42" type="noConversion"/>
  </si>
  <si>
    <t>262 / 172</t>
    <phoneticPr fontId="42" type="noConversion"/>
  </si>
  <si>
    <t>87 / 100</t>
    <phoneticPr fontId="42" type="noConversion"/>
  </si>
  <si>
    <t>2026052904:00</t>
    <phoneticPr fontId="42" type="noConversion"/>
  </si>
  <si>
    <t>491 / 305</t>
    <phoneticPr fontId="42" type="noConversion"/>
  </si>
  <si>
    <t>199 / 199</t>
    <phoneticPr fontId="42" type="noConversion"/>
  </si>
  <si>
    <t>2026053004:00</t>
    <phoneticPr fontId="42" type="noConversion"/>
  </si>
  <si>
    <t>402 / 227</t>
    <phoneticPr fontId="42" type="noConversion"/>
  </si>
  <si>
    <t>174 / 175</t>
    <phoneticPr fontId="42" type="noConversion"/>
  </si>
  <si>
    <t>2026053104:00</t>
    <phoneticPr fontId="42" type="noConversion"/>
  </si>
  <si>
    <t>2026060104:00</t>
    <phoneticPr fontId="42" type="noConversion"/>
  </si>
  <si>
    <t>517 / 312</t>
    <phoneticPr fontId="42" type="noConversion"/>
  </si>
  <si>
    <t>45 / 46</t>
    <phoneticPr fontId="42" type="noConversion"/>
  </si>
  <si>
    <t>2026060204:00</t>
    <phoneticPr fontId="42" type="noConversion"/>
  </si>
  <si>
    <t>298 / 190</t>
    <phoneticPr fontId="42" type="noConversion"/>
  </si>
  <si>
    <t>139 / 141</t>
    <phoneticPr fontId="42" type="noConversion"/>
  </si>
  <si>
    <t>2026060304:00</t>
    <phoneticPr fontId="42" type="noConversion"/>
  </si>
  <si>
    <t>571 / 353</t>
    <phoneticPr fontId="42" type="noConversion"/>
  </si>
  <si>
    <t>211 / 212</t>
    <phoneticPr fontId="42" type="noConversion"/>
  </si>
  <si>
    <t>2026060404:00</t>
    <phoneticPr fontId="42" type="noConversion"/>
  </si>
  <si>
    <t>450 / 291</t>
    <phoneticPr fontId="42" type="noConversion"/>
  </si>
  <si>
    <t>190 / 191</t>
    <phoneticPr fontId="42" type="noConversion"/>
  </si>
  <si>
    <t>42 / 44</t>
    <phoneticPr fontId="42" type="noConversion"/>
  </si>
  <si>
    <t>2026060504:00</t>
    <phoneticPr fontId="42" type="noConversion"/>
  </si>
  <si>
    <t>451 / 304</t>
    <phoneticPr fontId="42" type="noConversion"/>
  </si>
  <si>
    <t>190 / 189</t>
    <phoneticPr fontId="42" type="noConversion"/>
  </si>
  <si>
    <t>43 / 45</t>
    <phoneticPr fontId="42" type="noConversion"/>
  </si>
  <si>
    <t>2026060604:00</t>
    <phoneticPr fontId="42" type="noConversion"/>
  </si>
  <si>
    <t>F</t>
  </si>
  <si>
    <t>569 / 335</t>
    <phoneticPr fontId="42" type="noConversion"/>
  </si>
  <si>
    <t>2026060704:00</t>
    <phoneticPr fontId="42" type="noConversion"/>
  </si>
  <si>
    <t>2026060804:00</t>
    <phoneticPr fontId="42" type="noConversion"/>
  </si>
  <si>
    <t>R</t>
    <phoneticPr fontId="42" type="noConversion"/>
  </si>
  <si>
    <t>加淡水90頓</t>
    <phoneticPr fontId="42" type="noConversion"/>
  </si>
  <si>
    <t>2026060904:00</t>
    <phoneticPr fontId="42" type="noConversion"/>
  </si>
  <si>
    <t>2026061004:00</t>
    <phoneticPr fontId="4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</si>
</sst>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2" formatCode="_-&quot;$&quot;* #,##0_-;\-&quot;$&quot;* #,##0_-;_-&quot;$&quot;* &quot;-&quot;_-;_-@_-"/>
    <numFmt numFmtId="41" formatCode="_-* #,##0_-;\-* #,##0_-;_-* &quot;-&quot;_-;_-@_-"/>
    <numFmt numFmtId="44" formatCode="_-&quot;$&quot;* #,##0.00_-;\-&quot;$&quot;* #,##0.00_-;_-&quot;$&quot;* &quot;-&quot;??_-;_-@_-"/>
    <numFmt numFmtId="43" formatCode="_-* #,##0.00_-;\-* #,##0.00_-;_-* &quot;-&quot;??_-;_-@_-"/>
    <numFmt numFmtId="176" formatCode="_(&quot;$&quot;* #,##0_);_(&quot;$&quot;* \(#,##0\);_(&quot;$&quot;* &quot;-&quot;_);_(@_)"/>
    <numFmt numFmtId="177" formatCode="_(* #,##0_);_(* \(#,##0\);_(* &quot;-&quot;_);_(@_)"/>
    <numFmt numFmtId="178" formatCode="_(&quot;$&quot;* #,##0.00_);_(&quot;$&quot;* \(#,##0.00\);_(&quot;$&quot;* &quot;-&quot;??_);_(@_)"/>
    <numFmt numFmtId="179" formatCode="_(* #,##0.00_);_(* \(#,##0.00\);_(* &quot;-&quot;??_);_(@_)"/>
    <numFmt numFmtId="180" formatCode="0.0_ "/>
    <numFmt numFmtId="181" formatCode="0.00_);[Red]\(0.00\)"/>
    <numFmt numFmtId="182" formatCode="0.0_);[Red]\(0.0\)"/>
    <numFmt numFmtId="183" formatCode="0_);[Red]\(0\)"/>
    <numFmt numFmtId="184" formatCode="0_ "/>
  </numFmts>
  <fonts count="49">
    <font>
      <sz val="10"/>
      <name val="Arial"/>
      <family val="2"/>
    </font>
    <font>
      <sz val="12"/>
      <color theme="1"/>
      <name val="新細明體"/>
      <family val="2"/>
      <charset val="136"/>
      <scheme val="minor"/>
    </font>
    <font>
      <sz val="12"/>
      <name val="華康中楷體"/>
      <family val="3"/>
      <charset val="136"/>
    </font>
    <font>
      <sz val="9"/>
      <name val="新細明體"/>
      <family val="2"/>
      <charset val="136"/>
      <scheme val="minor"/>
    </font>
    <font>
      <sz val="10"/>
      <name val="Times New Roman"/>
      <family val="1"/>
    </font>
    <font>
      <sz val="9"/>
      <name val="新細明體"/>
      <family val="1"/>
      <charset val="136"/>
    </font>
    <font>
      <sz val="10"/>
      <color theme="1"/>
      <name val="Times New Roman"/>
      <family val="1"/>
    </font>
    <font>
      <sz val="10"/>
      <color theme="1"/>
      <name val="新細明體"/>
      <family val="2"/>
      <charset val="136"/>
      <scheme val="minor"/>
    </font>
    <font>
      <b/>
      <sz val="12"/>
      <color rgb="FFFF0000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color theme="1"/>
      <name val="新細明體"/>
      <family val="1"/>
      <charset val="136"/>
      <scheme val="minor"/>
    </font>
    <font>
      <sz val="10"/>
      <color indexed="8"/>
      <name val="新細明體"/>
      <family val="1"/>
      <charset val="136"/>
    </font>
    <font>
      <sz val="12"/>
      <color theme="1"/>
      <name val="Times New Roman"/>
      <family val="1"/>
    </font>
    <font>
      <b/>
      <u/>
      <sz val="12"/>
      <color theme="1"/>
      <name val="Times New Roman"/>
      <family val="1"/>
    </font>
    <font>
      <b/>
      <u/>
      <sz val="12"/>
      <name val="Times New Roman"/>
      <family val="1"/>
    </font>
    <font>
      <sz val="10"/>
      <color rgb="FFFF0000"/>
      <name val="Times New Roman"/>
      <family val="1"/>
    </font>
    <font>
      <sz val="11"/>
      <color theme="1"/>
      <name val="新細明體"/>
      <family val="2"/>
      <scheme val="minor"/>
    </font>
    <font>
      <sz val="11"/>
      <color theme="0"/>
      <name val="新細明體"/>
      <family val="2"/>
      <scheme val="minor"/>
    </font>
    <font>
      <b/>
      <sz val="9"/>
      <color indexed="8"/>
      <name val="Tahoma"/>
      <family val="2"/>
    </font>
    <font>
      <sz val="10"/>
      <name val="Arial"/>
      <family val="2"/>
    </font>
    <font>
      <sz val="11"/>
      <color rgb="FF9C6500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11"/>
      <color rgb="FF006100"/>
      <name val="新細明體"/>
      <family val="2"/>
      <scheme val="minor"/>
    </font>
    <font>
      <b/>
      <sz val="11"/>
      <color rgb="FFFA7D00"/>
      <name val="新細明體"/>
      <family val="2"/>
      <scheme val="minor"/>
    </font>
    <font>
      <sz val="11"/>
      <color rgb="FFFA7D00"/>
      <name val="新細明體"/>
      <family val="2"/>
      <scheme val="minor"/>
    </font>
    <font>
      <i/>
      <sz val="11"/>
      <color rgb="FF7F7F7F"/>
      <name val="新細明體"/>
      <family val="2"/>
      <scheme val="minor"/>
    </font>
    <font>
      <b/>
      <sz val="18"/>
      <color theme="3"/>
      <name val="新細明體"/>
      <family val="2"/>
      <scheme val="major"/>
    </font>
    <font>
      <b/>
      <sz val="15"/>
      <color theme="3"/>
      <name val="新細明體"/>
      <family val="2"/>
      <scheme val="minor"/>
    </font>
    <font>
      <b/>
      <sz val="13"/>
      <color theme="3"/>
      <name val="新細明體"/>
      <family val="2"/>
      <scheme val="minor"/>
    </font>
    <font>
      <b/>
      <sz val="11"/>
      <color theme="3"/>
      <name val="新細明體"/>
      <family val="2"/>
      <scheme val="minor"/>
    </font>
    <font>
      <sz val="11"/>
      <color rgb="FF3F3F76"/>
      <name val="新細明體"/>
      <family val="2"/>
      <scheme val="minor"/>
    </font>
    <font>
      <b/>
      <sz val="11"/>
      <color rgb="FF3F3F3F"/>
      <name val="新細明體"/>
      <family val="2"/>
      <scheme val="minor"/>
    </font>
    <font>
      <b/>
      <sz val="11"/>
      <color theme="0"/>
      <name val="新細明體"/>
      <family val="2"/>
      <scheme val="minor"/>
    </font>
    <font>
      <sz val="11"/>
      <color rgb="FF9C0006"/>
      <name val="新細明體"/>
      <family val="2"/>
      <scheme val="minor"/>
    </font>
    <font>
      <sz val="11"/>
      <color rgb="FFFF0000"/>
      <name val="新細明體"/>
      <family val="2"/>
      <scheme val="minor"/>
    </font>
    <font>
      <b/>
      <u/>
      <sz val="10"/>
      <name val="Times New Roman"/>
      <family val="1"/>
    </font>
    <font>
      <sz val="12"/>
      <name val="新細明體"/>
      <family val="2"/>
      <charset val="136"/>
      <scheme val="minor"/>
    </font>
    <font>
      <b/>
      <sz val="22"/>
      <color theme="1"/>
      <name val="Times New Roman"/>
      <family val="1"/>
    </font>
    <font>
      <b/>
      <sz val="22"/>
      <color rgb="FFFF0000"/>
      <name val="Times New Roman"/>
      <family val="1"/>
    </font>
    <font>
      <b/>
      <u/>
      <sz val="22"/>
      <color rgb="FFFF0000"/>
      <name val="Times New Roman"/>
      <family val="1"/>
    </font>
    <font>
      <b/>
      <sz val="22"/>
      <name val="Arial"/>
      <family val="2"/>
    </font>
    <font>
      <sz val="9"/>
      <name val="細明體"/>
      <family val="3"/>
      <charset val="136"/>
    </font>
    <font>
      <vertAlign val="subscript"/>
      <sz val="12"/>
      <color theme="1"/>
      <name val="標楷體"/>
      <family val="4"/>
      <charset val="136"/>
    </font>
    <font>
      <sz val="12"/>
      <name val="標楷體"/>
      <family val="4"/>
      <charset val="136"/>
    </font>
    <font>
      <sz val="10"/>
      <color theme="1"/>
      <name val="Arial"/>
      <family val="2"/>
    </font>
    <font>
      <b/>
      <u/>
      <sz val="10"/>
      <color theme="1"/>
      <name val="Arial"/>
      <family val="2"/>
    </font>
    <font>
      <b/>
      <sz val="9"/>
      <color indexed="81"/>
      <name val="細明體"/>
      <family val="3"/>
      <charset val="136"/>
    </font>
    <font>
      <sz val="10"/>
      <color theme="1"/>
      <name val="細明體"/>
      <family val="3"/>
      <charset val="136"/>
    </font>
  </fonts>
  <fills count="3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</borders>
  <cellStyleXfs count="94">
    <xf numFmtId="0" fontId="0" fillId="0" borderId="0"/>
    <xf numFmtId="0" fontId="2" fillId="0" borderId="0"/>
    <xf numFmtId="0" fontId="11" fillId="0" borderId="0">
      <alignment vertical="center"/>
    </xf>
    <xf numFmtId="179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8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14" applyNumberFormat="0" applyFill="0" applyAlignment="0" applyProtection="0"/>
    <xf numFmtId="0" fontId="29" fillId="0" borderId="15" applyNumberFormat="0" applyFill="0" applyAlignment="0" applyProtection="0"/>
    <xf numFmtId="0" fontId="30" fillId="0" borderId="16" applyNumberFormat="0" applyFill="0" applyAlignment="0" applyProtection="0"/>
    <xf numFmtId="0" fontId="30" fillId="0" borderId="0" applyNumberFormat="0" applyFill="0" applyBorder="0" applyAlignment="0" applyProtection="0"/>
    <xf numFmtId="0" fontId="23" fillId="4" borderId="0" applyNumberFormat="0" applyBorder="0" applyAlignment="0" applyProtection="0"/>
    <xf numFmtId="0" fontId="34" fillId="5" borderId="0" applyNumberFormat="0" applyBorder="0" applyAlignment="0" applyProtection="0"/>
    <xf numFmtId="0" fontId="21" fillId="6" borderId="0" applyNumberFormat="0" applyBorder="0" applyAlignment="0" applyProtection="0"/>
    <xf numFmtId="0" fontId="31" fillId="7" borderId="17" applyNumberFormat="0" applyAlignment="0" applyProtection="0"/>
    <xf numFmtId="0" fontId="32" fillId="8" borderId="18" applyNumberFormat="0" applyAlignment="0" applyProtection="0"/>
    <xf numFmtId="0" fontId="24" fillId="8" borderId="17" applyNumberFormat="0" applyAlignment="0" applyProtection="0"/>
    <xf numFmtId="0" fontId="25" fillId="0" borderId="19" applyNumberFormat="0" applyFill="0" applyAlignment="0" applyProtection="0"/>
    <xf numFmtId="0" fontId="33" fillId="9" borderId="20" applyNumberFormat="0" applyAlignment="0" applyProtection="0"/>
    <xf numFmtId="0" fontId="3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2" fillId="0" borderId="21" applyNumberFormat="0" applyFill="0" applyAlignment="0" applyProtection="0"/>
    <xf numFmtId="0" fontId="18" fillId="10" borderId="0" applyNumberFormat="0" applyBorder="0" applyAlignment="0" applyProtection="0"/>
    <xf numFmtId="0" fontId="17" fillId="11" borderId="0" applyNumberFormat="0" applyBorder="0" applyAlignment="0" applyProtection="0"/>
    <xf numFmtId="0" fontId="17" fillId="12" borderId="0" applyNumberFormat="0" applyBorder="0" applyAlignment="0" applyProtection="0"/>
    <xf numFmtId="0" fontId="18" fillId="13" borderId="0" applyNumberFormat="0" applyBorder="0" applyAlignment="0" applyProtection="0"/>
    <xf numFmtId="0" fontId="18" fillId="14" borderId="0" applyNumberFormat="0" applyBorder="0" applyAlignment="0" applyProtection="0"/>
    <xf numFmtId="0" fontId="17" fillId="15" borderId="0" applyNumberFormat="0" applyBorder="0" applyAlignment="0" applyProtection="0"/>
    <xf numFmtId="0" fontId="17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18" borderId="0" applyNumberFormat="0" applyBorder="0" applyAlignment="0" applyProtection="0"/>
    <xf numFmtId="0" fontId="17" fillId="19" borderId="0" applyNumberFormat="0" applyBorder="0" applyAlignment="0" applyProtection="0"/>
    <xf numFmtId="0" fontId="17" fillId="20" borderId="0" applyNumberFormat="0" applyBorder="0" applyAlignment="0" applyProtection="0"/>
    <xf numFmtId="0" fontId="18" fillId="21" borderId="0" applyNumberFormat="0" applyBorder="0" applyAlignment="0" applyProtection="0"/>
    <xf numFmtId="0" fontId="18" fillId="22" borderId="0" applyNumberFormat="0" applyBorder="0" applyAlignment="0" applyProtection="0"/>
    <xf numFmtId="0" fontId="17" fillId="23" borderId="0" applyNumberFormat="0" applyBorder="0" applyAlignment="0" applyProtection="0"/>
    <xf numFmtId="0" fontId="17" fillId="24" borderId="0" applyNumberFormat="0" applyBorder="0" applyAlignment="0" applyProtection="0"/>
    <xf numFmtId="0" fontId="18" fillId="25" borderId="0" applyNumberFormat="0" applyBorder="0" applyAlignment="0" applyProtection="0"/>
    <xf numFmtId="0" fontId="18" fillId="26" borderId="0" applyNumberFormat="0" applyBorder="0" applyAlignment="0" applyProtection="0"/>
    <xf numFmtId="0" fontId="17" fillId="27" borderId="0" applyNumberFormat="0" applyBorder="0" applyAlignment="0" applyProtection="0"/>
    <xf numFmtId="0" fontId="17" fillId="28" borderId="0" applyNumberFormat="0" applyBorder="0" applyAlignment="0" applyProtection="0"/>
    <xf numFmtId="0" fontId="18" fillId="29" borderId="0" applyNumberFormat="0" applyBorder="0" applyAlignment="0" applyProtection="0"/>
    <xf numFmtId="0" fontId="18" fillId="30" borderId="0" applyNumberFormat="0" applyBorder="0" applyAlignment="0" applyProtection="0"/>
    <xf numFmtId="0" fontId="17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33" borderId="0" applyNumberFormat="0" applyBorder="0" applyAlignment="0" applyProtection="0"/>
    <xf numFmtId="0" fontId="19" fillId="34" borderId="22">
      <alignment vertical="center"/>
    </xf>
    <xf numFmtId="0" fontId="1" fillId="0" borderId="0">
      <alignment vertical="center"/>
    </xf>
    <xf numFmtId="0" fontId="20" fillId="0" borderId="0"/>
    <xf numFmtId="43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4" fontId="20" fillId="0" borderId="0" applyFont="0" applyFill="0" applyBorder="0" applyAlignment="0" applyProtection="0"/>
    <xf numFmtId="42" fontId="20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14" applyNumberFormat="0" applyFill="0" applyAlignment="0" applyProtection="0"/>
    <xf numFmtId="0" fontId="29" fillId="0" borderId="15" applyNumberFormat="0" applyFill="0" applyAlignment="0" applyProtection="0"/>
    <xf numFmtId="0" fontId="30" fillId="0" borderId="16" applyNumberFormat="0" applyFill="0" applyAlignment="0" applyProtection="0"/>
    <xf numFmtId="0" fontId="30" fillId="0" borderId="0" applyNumberFormat="0" applyFill="0" applyBorder="0" applyAlignment="0" applyProtection="0"/>
    <xf numFmtId="0" fontId="23" fillId="4" borderId="0" applyNumberFormat="0" applyBorder="0" applyAlignment="0" applyProtection="0"/>
    <xf numFmtId="0" fontId="34" fillId="5" borderId="0" applyNumberFormat="0" applyBorder="0" applyAlignment="0" applyProtection="0"/>
    <xf numFmtId="0" fontId="21" fillId="6" borderId="0" applyNumberFormat="0" applyBorder="0" applyAlignment="0" applyProtection="0"/>
    <xf numFmtId="0" fontId="31" fillId="7" borderId="17" applyNumberFormat="0" applyAlignment="0" applyProtection="0"/>
    <xf numFmtId="0" fontId="32" fillId="8" borderId="18" applyNumberFormat="0" applyAlignment="0" applyProtection="0"/>
    <xf numFmtId="0" fontId="24" fillId="8" borderId="17" applyNumberFormat="0" applyAlignment="0" applyProtection="0"/>
    <xf numFmtId="0" fontId="25" fillId="0" borderId="19" applyNumberFormat="0" applyFill="0" applyAlignment="0" applyProtection="0"/>
    <xf numFmtId="0" fontId="33" fillId="9" borderId="20" applyNumberFormat="0" applyAlignment="0" applyProtection="0"/>
    <xf numFmtId="0" fontId="3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2" fillId="0" borderId="21" applyNumberFormat="0" applyFill="0" applyAlignment="0" applyProtection="0"/>
    <xf numFmtId="0" fontId="18" fillId="10" borderId="0" applyNumberFormat="0" applyBorder="0" applyAlignment="0" applyProtection="0"/>
    <xf numFmtId="0" fontId="17" fillId="11" borderId="0" applyNumberFormat="0" applyBorder="0" applyAlignment="0" applyProtection="0"/>
    <xf numFmtId="0" fontId="17" fillId="12" borderId="0" applyNumberFormat="0" applyBorder="0" applyAlignment="0" applyProtection="0"/>
    <xf numFmtId="0" fontId="18" fillId="13" borderId="0" applyNumberFormat="0" applyBorder="0" applyAlignment="0" applyProtection="0"/>
    <xf numFmtId="0" fontId="18" fillId="14" borderId="0" applyNumberFormat="0" applyBorder="0" applyAlignment="0" applyProtection="0"/>
    <xf numFmtId="0" fontId="17" fillId="15" borderId="0" applyNumberFormat="0" applyBorder="0" applyAlignment="0" applyProtection="0"/>
    <xf numFmtId="0" fontId="17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18" borderId="0" applyNumberFormat="0" applyBorder="0" applyAlignment="0" applyProtection="0"/>
    <xf numFmtId="0" fontId="17" fillId="19" borderId="0" applyNumberFormat="0" applyBorder="0" applyAlignment="0" applyProtection="0"/>
    <xf numFmtId="0" fontId="17" fillId="20" borderId="0" applyNumberFormat="0" applyBorder="0" applyAlignment="0" applyProtection="0"/>
    <xf numFmtId="0" fontId="18" fillId="21" borderId="0" applyNumberFormat="0" applyBorder="0" applyAlignment="0" applyProtection="0"/>
    <xf numFmtId="0" fontId="18" fillId="22" borderId="0" applyNumberFormat="0" applyBorder="0" applyAlignment="0" applyProtection="0"/>
    <xf numFmtId="0" fontId="17" fillId="23" borderId="0" applyNumberFormat="0" applyBorder="0" applyAlignment="0" applyProtection="0"/>
    <xf numFmtId="0" fontId="17" fillId="24" borderId="0" applyNumberFormat="0" applyBorder="0" applyAlignment="0" applyProtection="0"/>
    <xf numFmtId="0" fontId="18" fillId="25" borderId="0" applyNumberFormat="0" applyBorder="0" applyAlignment="0" applyProtection="0"/>
    <xf numFmtId="0" fontId="18" fillId="26" borderId="0" applyNumberFormat="0" applyBorder="0" applyAlignment="0" applyProtection="0"/>
    <xf numFmtId="0" fontId="17" fillId="27" borderId="0" applyNumberFormat="0" applyBorder="0" applyAlignment="0" applyProtection="0"/>
    <xf numFmtId="0" fontId="17" fillId="28" borderId="0" applyNumberFormat="0" applyBorder="0" applyAlignment="0" applyProtection="0"/>
    <xf numFmtId="0" fontId="18" fillId="29" borderId="0" applyNumberFormat="0" applyBorder="0" applyAlignment="0" applyProtection="0"/>
    <xf numFmtId="0" fontId="18" fillId="30" borderId="0" applyNumberFormat="0" applyBorder="0" applyAlignment="0" applyProtection="0"/>
    <xf numFmtId="0" fontId="17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33" borderId="0" applyNumberFormat="0" applyBorder="0" applyAlignment="0" applyProtection="0"/>
  </cellStyleXfs>
  <cellXfs count="157">
    <xf numFmtId="0" fontId="0" fillId="0" borderId="0" xfId="0"/>
    <xf numFmtId="0" fontId="7" fillId="0" borderId="0" xfId="0" applyFont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22" fontId="7" fillId="0" borderId="0" xfId="0" applyNumberFormat="1" applyFont="1" applyAlignment="1" applyProtection="1">
      <alignment horizontal="center" vertical="center"/>
      <protection locked="0"/>
    </xf>
    <xf numFmtId="0" fontId="7" fillId="2" borderId="0" xfId="0" applyFont="1" applyFill="1" applyAlignment="1" applyProtection="1">
      <alignment horizontal="center" vertical="center"/>
      <protection locked="0"/>
    </xf>
    <xf numFmtId="182" fontId="7" fillId="0" borderId="0" xfId="0" applyNumberFormat="1" applyFont="1" applyAlignment="1" applyProtection="1">
      <alignment horizontal="center" vertical="center"/>
      <protection locked="0"/>
    </xf>
    <xf numFmtId="183" fontId="7" fillId="0" borderId="0" xfId="0" applyNumberFormat="1" applyFont="1" applyAlignment="1" applyProtection="1">
      <alignment horizontal="center" vertical="center"/>
      <protection locked="0"/>
    </xf>
    <xf numFmtId="0" fontId="7" fillId="0" borderId="0" xfId="0" applyFont="1" applyAlignment="1">
      <alignment horizontal="center" vertical="center"/>
    </xf>
    <xf numFmtId="22" fontId="7" fillId="0" borderId="0" xfId="0" applyNumberFormat="1" applyFont="1" applyAlignment="1">
      <alignment horizontal="center" vertical="center"/>
    </xf>
    <xf numFmtId="182" fontId="7" fillId="0" borderId="0" xfId="0" applyNumberFormat="1" applyFont="1" applyAlignment="1">
      <alignment horizontal="center" vertical="center"/>
    </xf>
    <xf numFmtId="183" fontId="7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2" fontId="4" fillId="3" borderId="3" xfId="1" applyNumberFormat="1" applyFont="1" applyFill="1" applyBorder="1" applyAlignment="1" applyProtection="1">
      <alignment horizontal="center" vertical="center"/>
      <protection locked="0"/>
    </xf>
    <xf numFmtId="183" fontId="4" fillId="3" borderId="3" xfId="1" applyNumberFormat="1" applyFont="1" applyFill="1" applyBorder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184" fontId="6" fillId="0" borderId="0" xfId="0" applyNumberFormat="1" applyFont="1" applyAlignment="1" applyProtection="1">
      <alignment horizontal="center" vertical="center"/>
      <protection locked="0"/>
    </xf>
    <xf numFmtId="0" fontId="4" fillId="0" borderId="0" xfId="0" applyFont="1" applyAlignment="1">
      <alignment horizontal="center" vertical="center"/>
    </xf>
    <xf numFmtId="184" fontId="6" fillId="0" borderId="0" xfId="0" applyNumberFormat="1" applyFont="1" applyAlignment="1">
      <alignment horizontal="center" vertical="center"/>
    </xf>
    <xf numFmtId="0" fontId="12" fillId="3" borderId="3" xfId="0" applyFont="1" applyFill="1" applyBorder="1" applyAlignment="1" applyProtection="1">
      <alignment horizontal="center" vertical="center"/>
      <protection locked="0"/>
    </xf>
    <xf numFmtId="0" fontId="4" fillId="3" borderId="3" xfId="1" applyFont="1" applyFill="1" applyBorder="1" applyAlignment="1" applyProtection="1">
      <alignment horizontal="center" vertical="center"/>
      <protection locked="0"/>
    </xf>
    <xf numFmtId="182" fontId="4" fillId="3" borderId="3" xfId="1" applyNumberFormat="1" applyFont="1" applyFill="1" applyBorder="1" applyAlignment="1" applyProtection="1">
      <alignment horizontal="center" vertical="center"/>
      <protection locked="0"/>
    </xf>
    <xf numFmtId="2" fontId="4" fillId="3" borderId="24" xfId="1" applyNumberFormat="1" applyFont="1" applyFill="1" applyBorder="1" applyAlignment="1" applyProtection="1">
      <alignment horizontal="center" vertical="center"/>
      <protection locked="0"/>
    </xf>
    <xf numFmtId="183" fontId="4" fillId="36" borderId="3" xfId="1" applyNumberFormat="1" applyFont="1" applyFill="1" applyBorder="1" applyAlignment="1">
      <alignment horizontal="center" vertical="center"/>
    </xf>
    <xf numFmtId="2" fontId="4" fillId="36" borderId="3" xfId="1" applyNumberFormat="1" applyFont="1" applyFill="1" applyBorder="1" applyAlignment="1">
      <alignment horizontal="center" vertical="center"/>
    </xf>
    <xf numFmtId="2" fontId="6" fillId="36" borderId="3" xfId="0" applyNumberFormat="1" applyFont="1" applyFill="1" applyBorder="1" applyAlignment="1">
      <alignment horizontal="center" vertical="center"/>
    </xf>
    <xf numFmtId="0" fontId="4" fillId="2" borderId="3" xfId="1" applyFont="1" applyFill="1" applyBorder="1" applyAlignment="1" applyProtection="1">
      <alignment horizontal="center" vertical="center"/>
      <protection locked="0"/>
    </xf>
    <xf numFmtId="184" fontId="6" fillId="2" borderId="26" xfId="0" applyNumberFormat="1" applyFont="1" applyFill="1" applyBorder="1" applyAlignment="1" applyProtection="1">
      <alignment horizontal="center" vertical="center"/>
      <protection locked="0"/>
    </xf>
    <xf numFmtId="0" fontId="44" fillId="0" borderId="0" xfId="0" applyFont="1"/>
    <xf numFmtId="0" fontId="44" fillId="0" borderId="24" xfId="0" applyFont="1" applyBorder="1"/>
    <xf numFmtId="0" fontId="44" fillId="0" borderId="0" xfId="0" applyFont="1" applyAlignment="1">
      <alignment vertical="center"/>
    </xf>
    <xf numFmtId="0" fontId="44" fillId="0" borderId="0" xfId="0" applyFont="1" applyAlignment="1">
      <alignment horizontal="right"/>
    </xf>
    <xf numFmtId="0" fontId="0" fillId="0" borderId="0" xfId="0" applyAlignment="1">
      <alignment horizontal="right"/>
    </xf>
    <xf numFmtId="0" fontId="44" fillId="37" borderId="0" xfId="0" applyFont="1" applyFill="1" applyAlignment="1">
      <alignment horizontal="right"/>
    </xf>
    <xf numFmtId="0" fontId="44" fillId="37" borderId="0" xfId="0" applyFont="1" applyFill="1"/>
    <xf numFmtId="0" fontId="44" fillId="0" borderId="24" xfId="0" applyFont="1" applyBorder="1" applyAlignment="1">
      <alignment horizontal="center"/>
    </xf>
    <xf numFmtId="0" fontId="44" fillId="35" borderId="24" xfId="0" applyFont="1" applyFill="1" applyBorder="1" applyAlignment="1">
      <alignment horizontal="center"/>
    </xf>
    <xf numFmtId="0" fontId="44" fillId="0" borderId="23" xfId="0" applyFont="1" applyBorder="1" applyAlignment="1">
      <alignment horizontal="center"/>
    </xf>
    <xf numFmtId="0" fontId="44" fillId="0" borderId="2" xfId="0" applyFont="1" applyBorder="1" applyAlignment="1">
      <alignment horizontal="center"/>
    </xf>
    <xf numFmtId="2" fontId="4" fillId="3" borderId="29" xfId="1" applyNumberFormat="1" applyFont="1" applyFill="1" applyBorder="1" applyAlignment="1" applyProtection="1">
      <alignment horizontal="center" vertical="center"/>
      <protection locked="0"/>
    </xf>
    <xf numFmtId="182" fontId="4" fillId="36" borderId="26" xfId="0" applyNumberFormat="1" applyFont="1" applyFill="1" applyBorder="1" applyAlignment="1">
      <alignment horizontal="center" vertical="center" wrapText="1"/>
    </xf>
    <xf numFmtId="0" fontId="4" fillId="3" borderId="29" xfId="1" applyFont="1" applyFill="1" applyBorder="1" applyAlignment="1" applyProtection="1">
      <alignment horizontal="center" vertical="center"/>
      <protection locked="0"/>
    </xf>
    <xf numFmtId="0" fontId="4" fillId="2" borderId="29" xfId="1" applyFont="1" applyFill="1" applyBorder="1" applyAlignment="1" applyProtection="1">
      <alignment horizontal="center" vertical="center"/>
      <protection locked="0"/>
    </xf>
    <xf numFmtId="182" fontId="4" fillId="0" borderId="7" xfId="0" applyNumberFormat="1" applyFont="1" applyBorder="1" applyAlignment="1" applyProtection="1">
      <alignment horizontal="center" vertical="center" wrapText="1"/>
      <protection locked="0"/>
    </xf>
    <xf numFmtId="183" fontId="4" fillId="3" borderId="29" xfId="1" applyNumberFormat="1" applyFont="1" applyFill="1" applyBorder="1" applyAlignment="1" applyProtection="1">
      <alignment horizontal="center" vertical="center"/>
      <protection locked="0"/>
    </xf>
    <xf numFmtId="182" fontId="4" fillId="3" borderId="29" xfId="1" applyNumberFormat="1" applyFont="1" applyFill="1" applyBorder="1" applyAlignment="1" applyProtection="1">
      <alignment horizontal="center" vertical="center"/>
      <protection locked="0"/>
    </xf>
    <xf numFmtId="183" fontId="4" fillId="3" borderId="29" xfId="1" quotePrefix="1" applyNumberFormat="1" applyFont="1" applyFill="1" applyBorder="1" applyAlignment="1" applyProtection="1">
      <alignment horizontal="center" vertical="center"/>
      <protection locked="0"/>
    </xf>
    <xf numFmtId="2" fontId="4" fillId="3" borderId="29" xfId="1" quotePrefix="1" applyNumberFormat="1" applyFont="1" applyFill="1" applyBorder="1" applyAlignment="1" applyProtection="1">
      <alignment horizontal="center" vertical="center"/>
      <protection locked="0"/>
    </xf>
    <xf numFmtId="184" fontId="4" fillId="3" borderId="29" xfId="1" quotePrefix="1" applyNumberFormat="1" applyFont="1" applyFill="1" applyBorder="1" applyAlignment="1" applyProtection="1">
      <alignment horizontal="center" vertical="center"/>
      <protection locked="0"/>
    </xf>
    <xf numFmtId="183" fontId="7" fillId="0" borderId="28" xfId="0" applyNumberFormat="1" applyFont="1" applyBorder="1" applyAlignment="1" applyProtection="1">
      <alignment horizontal="center" vertical="center"/>
      <protection locked="0"/>
    </xf>
    <xf numFmtId="184" fontId="6" fillId="36" borderId="26" xfId="0" applyNumberFormat="1" applyFont="1" applyFill="1" applyBorder="1" applyAlignment="1" applyProtection="1">
      <alignment horizontal="center" vertical="center"/>
      <protection locked="0"/>
    </xf>
    <xf numFmtId="184" fontId="6" fillId="36" borderId="0" xfId="0" applyNumberFormat="1" applyFont="1" applyFill="1" applyAlignment="1">
      <alignment horizontal="center" vertical="center"/>
    </xf>
    <xf numFmtId="184" fontId="6" fillId="36" borderId="0" xfId="0" applyNumberFormat="1" applyFont="1" applyFill="1" applyAlignment="1" applyProtection="1">
      <alignment horizontal="center" vertical="center"/>
      <protection locked="0"/>
    </xf>
    <xf numFmtId="182" fontId="4" fillId="0" borderId="29" xfId="0" applyNumberFormat="1" applyFont="1" applyBorder="1" applyAlignment="1" applyProtection="1">
      <alignment horizontal="center" vertical="center" wrapText="1"/>
      <protection locked="0"/>
    </xf>
    <xf numFmtId="181" fontId="4" fillId="3" borderId="3" xfId="1" applyNumberFormat="1" applyFont="1" applyFill="1" applyBorder="1" applyAlignment="1" applyProtection="1">
      <alignment horizontal="center" vertical="center"/>
      <protection locked="0"/>
    </xf>
    <xf numFmtId="2" fontId="6" fillId="36" borderId="29" xfId="0" applyNumberFormat="1" applyFont="1" applyFill="1" applyBorder="1" applyAlignment="1">
      <alignment horizontal="center" vertical="center"/>
    </xf>
    <xf numFmtId="2" fontId="4" fillId="2" borderId="3" xfId="1" applyNumberFormat="1" applyFont="1" applyFill="1" applyBorder="1" applyAlignment="1" applyProtection="1">
      <alignment horizontal="center" vertical="center"/>
      <protection locked="0"/>
    </xf>
    <xf numFmtId="2" fontId="4" fillId="2" borderId="29" xfId="1" applyNumberFormat="1" applyFont="1" applyFill="1" applyBorder="1" applyAlignment="1" applyProtection="1">
      <alignment horizontal="center" vertical="center"/>
      <protection locked="0"/>
    </xf>
    <xf numFmtId="2" fontId="4" fillId="2" borderId="24" xfId="1" applyNumberFormat="1" applyFont="1" applyFill="1" applyBorder="1" applyAlignment="1" applyProtection="1">
      <alignment horizontal="center" vertical="center"/>
      <protection locked="0"/>
    </xf>
    <xf numFmtId="181" fontId="4" fillId="3" borderId="29" xfId="1" applyNumberFormat="1" applyFont="1" applyFill="1" applyBorder="1" applyAlignment="1" applyProtection="1">
      <alignment horizontal="center" vertical="center"/>
      <protection locked="0"/>
    </xf>
    <xf numFmtId="0" fontId="4" fillId="0" borderId="7" xfId="0" applyNumberFormat="1" applyFont="1" applyBorder="1" applyAlignment="1" applyProtection="1">
      <alignment horizontal="center" vertical="center"/>
      <protection locked="0"/>
    </xf>
    <xf numFmtId="0" fontId="4" fillId="0" borderId="7" xfId="0" applyNumberFormat="1" applyFont="1" applyBorder="1" applyAlignment="1" applyProtection="1">
      <alignment horizontal="center" vertical="center" wrapText="1"/>
      <protection locked="0"/>
    </xf>
    <xf numFmtId="182" fontId="4" fillId="0" borderId="1" xfId="0" applyNumberFormat="1" applyFont="1" applyBorder="1" applyAlignment="1" applyProtection="1">
      <alignment horizontal="center" vertical="center" wrapText="1"/>
      <protection locked="0"/>
    </xf>
    <xf numFmtId="0" fontId="4" fillId="3" borderId="1" xfId="1" applyFont="1" applyFill="1" applyBorder="1" applyAlignment="1" applyProtection="1">
      <alignment horizontal="center" vertical="center"/>
      <protection locked="0"/>
    </xf>
    <xf numFmtId="2" fontId="4" fillId="3" borderId="1" xfId="1" applyNumberFormat="1" applyFont="1" applyFill="1" applyBorder="1" applyAlignment="1" applyProtection="1">
      <alignment horizontal="center" vertical="center"/>
      <protection locked="0"/>
    </xf>
    <xf numFmtId="2" fontId="6" fillId="36" borderId="1" xfId="0" applyNumberFormat="1" applyFont="1" applyFill="1" applyBorder="1" applyAlignment="1">
      <alignment horizontal="center" vertical="center"/>
    </xf>
    <xf numFmtId="2" fontId="4" fillId="2" borderId="1" xfId="1" applyNumberFormat="1" applyFont="1" applyFill="1" applyBorder="1" applyAlignment="1" applyProtection="1">
      <alignment horizontal="center" vertical="center"/>
      <protection locked="0"/>
    </xf>
    <xf numFmtId="183" fontId="7" fillId="0" borderId="0" xfId="0" applyNumberFormat="1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184" fontId="6" fillId="0" borderId="0" xfId="0" applyNumberFormat="1" applyFont="1" applyBorder="1" applyAlignment="1">
      <alignment horizontal="center" vertical="center"/>
    </xf>
    <xf numFmtId="184" fontId="6" fillId="36" borderId="0" xfId="0" applyNumberFormat="1" applyFont="1" applyFill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184" fontId="6" fillId="2" borderId="29" xfId="0" applyNumberFormat="1" applyFont="1" applyFill="1" applyBorder="1" applyAlignment="1" applyProtection="1">
      <alignment horizontal="center" vertical="center"/>
      <protection locked="0"/>
    </xf>
    <xf numFmtId="184" fontId="6" fillId="36" borderId="29" xfId="0" applyNumberFormat="1" applyFont="1" applyFill="1" applyBorder="1" applyAlignment="1" applyProtection="1">
      <alignment horizontal="center" vertical="center"/>
      <protection locked="0"/>
    </xf>
    <xf numFmtId="183" fontId="7" fillId="0" borderId="29" xfId="0" applyNumberFormat="1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36" borderId="29" xfId="0" applyFont="1" applyFill="1" applyBorder="1" applyAlignment="1">
      <alignment horizontal="center" vertical="center"/>
    </xf>
    <xf numFmtId="183" fontId="7" fillId="0" borderId="30" xfId="0" applyNumberFormat="1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2" fontId="4" fillId="2" borderId="30" xfId="1" applyNumberFormat="1" applyFont="1" applyFill="1" applyBorder="1" applyAlignment="1" applyProtection="1">
      <alignment horizontal="center" vertical="center"/>
      <protection locked="0"/>
    </xf>
    <xf numFmtId="0" fontId="4" fillId="0" borderId="30" xfId="0" applyFont="1" applyBorder="1" applyAlignment="1">
      <alignment horizontal="center" vertical="center"/>
    </xf>
    <xf numFmtId="182" fontId="4" fillId="0" borderId="30" xfId="0" applyNumberFormat="1" applyFont="1" applyBorder="1" applyAlignment="1" applyProtection="1">
      <alignment horizontal="center" vertical="center" wrapText="1"/>
      <protection locked="0"/>
    </xf>
    <xf numFmtId="180" fontId="38" fillId="36" borderId="9" xfId="0" applyNumberFormat="1" applyFont="1" applyFill="1" applyBorder="1" applyAlignment="1">
      <alignment horizontal="center" vertical="center" wrapText="1"/>
    </xf>
    <xf numFmtId="180" fontId="38" fillId="36" borderId="25" xfId="0" applyNumberFormat="1" applyFont="1" applyFill="1" applyBorder="1" applyAlignment="1">
      <alignment horizontal="center" vertical="center" wrapText="1"/>
    </xf>
    <xf numFmtId="0" fontId="41" fillId="0" borderId="25" xfId="0" applyFont="1" applyBorder="1" applyAlignment="1">
      <alignment horizontal="center" vertical="center"/>
    </xf>
    <xf numFmtId="0" fontId="4" fillId="36" borderId="3" xfId="0" applyFont="1" applyFill="1" applyBorder="1" applyAlignment="1">
      <alignment horizontal="center" vertical="center"/>
    </xf>
    <xf numFmtId="0" fontId="4" fillId="36" borderId="3" xfId="1" applyFont="1" applyFill="1" applyBorder="1" applyAlignment="1">
      <alignment horizontal="center" vertical="center"/>
    </xf>
    <xf numFmtId="22" fontId="4" fillId="36" borderId="3" xfId="1" applyNumberFormat="1" applyFont="1" applyFill="1" applyBorder="1" applyAlignment="1">
      <alignment horizontal="center" vertical="center" wrapText="1"/>
    </xf>
    <xf numFmtId="22" fontId="4" fillId="36" borderId="3" xfId="1" applyNumberFormat="1" applyFont="1" applyFill="1" applyBorder="1" applyAlignment="1">
      <alignment horizontal="center" vertical="center"/>
    </xf>
    <xf numFmtId="0" fontId="4" fillId="36" borderId="1" xfId="1" applyFont="1" applyFill="1" applyBorder="1" applyAlignment="1">
      <alignment horizontal="center" vertical="center" wrapText="1"/>
    </xf>
    <xf numFmtId="0" fontId="0" fillId="36" borderId="11" xfId="0" applyFill="1" applyBorder="1" applyAlignment="1">
      <alignment horizontal="center" vertical="center" wrapText="1"/>
    </xf>
    <xf numFmtId="0" fontId="0" fillId="36" borderId="2" xfId="0" applyFill="1" applyBorder="1" applyAlignment="1">
      <alignment horizontal="center" vertical="center" wrapText="1"/>
    </xf>
    <xf numFmtId="181" fontId="4" fillId="36" borderId="4" xfId="1" applyNumberFormat="1" applyFont="1" applyFill="1" applyBorder="1" applyAlignment="1">
      <alignment horizontal="center" vertical="center"/>
    </xf>
    <xf numFmtId="181" fontId="4" fillId="36" borderId="5" xfId="1" applyNumberFormat="1" applyFont="1" applyFill="1" applyBorder="1" applyAlignment="1">
      <alignment horizontal="center" vertical="center"/>
    </xf>
    <xf numFmtId="181" fontId="0" fillId="36" borderId="5" xfId="0" applyNumberFormat="1" applyFill="1" applyBorder="1" applyAlignment="1">
      <alignment horizontal="center" vertical="center"/>
    </xf>
    <xf numFmtId="0" fontId="0" fillId="36" borderId="6" xfId="0" applyFill="1" applyBorder="1" applyAlignment="1">
      <alignment horizontal="center" vertical="center"/>
    </xf>
    <xf numFmtId="182" fontId="4" fillId="36" borderId="4" xfId="0" applyNumberFormat="1" applyFont="1" applyFill="1" applyBorder="1" applyAlignment="1">
      <alignment horizontal="center" vertical="center" wrapText="1"/>
    </xf>
    <xf numFmtId="182" fontId="4" fillId="36" borderId="5" xfId="0" applyNumberFormat="1" applyFont="1" applyFill="1" applyBorder="1" applyAlignment="1">
      <alignment horizontal="center" vertical="center" wrapText="1"/>
    </xf>
    <xf numFmtId="182" fontId="4" fillId="36" borderId="6" xfId="0" applyNumberFormat="1" applyFont="1" applyFill="1" applyBorder="1" applyAlignment="1">
      <alignment horizontal="center" vertical="center" wrapText="1"/>
    </xf>
    <xf numFmtId="0" fontId="4" fillId="36" borderId="3" xfId="0" applyFont="1" applyFill="1" applyBorder="1" applyAlignment="1">
      <alignment horizontal="center" vertical="center" wrapText="1"/>
    </xf>
    <xf numFmtId="0" fontId="15" fillId="36" borderId="3" xfId="0" applyFont="1" applyFill="1" applyBorder="1" applyAlignment="1">
      <alignment horizontal="center" vertical="center"/>
    </xf>
    <xf numFmtId="0" fontId="15" fillId="36" borderId="24" xfId="0" applyFont="1" applyFill="1" applyBorder="1" applyAlignment="1">
      <alignment horizontal="center" vertical="center"/>
    </xf>
    <xf numFmtId="184" fontId="6" fillId="36" borderId="23" xfId="0" applyNumberFormat="1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49" fontId="6" fillId="36" borderId="7" xfId="0" applyNumberFormat="1" applyFont="1" applyFill="1" applyBorder="1" applyAlignment="1">
      <alignment horizontal="center" vertical="center" wrapText="1"/>
    </xf>
    <xf numFmtId="0" fontId="0" fillId="36" borderId="8" xfId="0" applyFill="1" applyBorder="1" applyAlignment="1">
      <alignment horizontal="center" vertical="center"/>
    </xf>
    <xf numFmtId="49" fontId="6" fillId="36" borderId="12" xfId="0" applyNumberFormat="1" applyFont="1" applyFill="1" applyBorder="1" applyAlignment="1">
      <alignment horizontal="center" vertical="center"/>
    </xf>
    <xf numFmtId="0" fontId="0" fillId="36" borderId="13" xfId="0" applyFill="1" applyBorder="1" applyAlignment="1">
      <alignment horizontal="center" vertical="center"/>
    </xf>
    <xf numFmtId="49" fontId="6" fillId="36" borderId="9" xfId="0" applyNumberFormat="1" applyFont="1" applyFill="1" applyBorder="1" applyAlignment="1">
      <alignment horizontal="center" vertical="center"/>
    </xf>
    <xf numFmtId="0" fontId="0" fillId="36" borderId="10" xfId="0" applyFill="1" applyBorder="1" applyAlignment="1">
      <alignment horizontal="center" vertical="center"/>
    </xf>
    <xf numFmtId="182" fontId="4" fillId="36" borderId="1" xfId="0" applyNumberFormat="1" applyFont="1" applyFill="1" applyBorder="1" applyAlignment="1">
      <alignment horizontal="center" vertical="center" wrapText="1"/>
    </xf>
    <xf numFmtId="182" fontId="4" fillId="36" borderId="2" xfId="0" applyNumberFormat="1" applyFont="1" applyFill="1" applyBorder="1" applyAlignment="1">
      <alignment horizontal="center" vertical="center" wrapText="1"/>
    </xf>
    <xf numFmtId="183" fontId="6" fillId="36" borderId="1" xfId="0" applyNumberFormat="1" applyFont="1" applyFill="1" applyBorder="1" applyAlignment="1">
      <alignment horizontal="center" vertical="center" wrapText="1"/>
    </xf>
    <xf numFmtId="0" fontId="4" fillId="36" borderId="11" xfId="1" applyFont="1" applyFill="1" applyBorder="1" applyAlignment="1">
      <alignment horizontal="center" vertical="center" wrapText="1"/>
    </xf>
    <xf numFmtId="0" fontId="37" fillId="36" borderId="2" xfId="0" applyFont="1" applyFill="1" applyBorder="1" applyAlignment="1">
      <alignment horizontal="center" vertical="center" wrapText="1"/>
    </xf>
    <xf numFmtId="0" fontId="4" fillId="36" borderId="23" xfId="1" applyFont="1" applyFill="1" applyBorder="1" applyAlignment="1">
      <alignment horizontal="center" vertical="center" wrapText="1"/>
    </xf>
    <xf numFmtId="0" fontId="4" fillId="36" borderId="26" xfId="0" applyFont="1" applyFill="1" applyBorder="1" applyAlignment="1">
      <alignment horizontal="center" vertical="center" wrapText="1"/>
    </xf>
    <xf numFmtId="0" fontId="4" fillId="36" borderId="27" xfId="0" applyFont="1" applyFill="1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183" fontId="4" fillId="36" borderId="26" xfId="0" applyNumberFormat="1" applyFont="1" applyFill="1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45" fillId="36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82" fontId="4" fillId="36" borderId="7" xfId="0" applyNumberFormat="1" applyFont="1" applyFill="1" applyBorder="1" applyAlignment="1">
      <alignment horizontal="center" vertical="center" wrapText="1"/>
    </xf>
    <xf numFmtId="0" fontId="0" fillId="36" borderId="9" xfId="0" applyFill="1" applyBorder="1" applyAlignment="1">
      <alignment horizontal="center" vertical="center" wrapText="1"/>
    </xf>
    <xf numFmtId="0" fontId="4" fillId="36" borderId="1" xfId="0" applyFont="1" applyFill="1" applyBorder="1" applyAlignment="1">
      <alignment horizontal="center" vertical="center" wrapText="1"/>
    </xf>
    <xf numFmtId="182" fontId="4" fillId="36" borderId="23" xfId="0" applyNumberFormat="1" applyFont="1" applyFill="1" applyBorder="1" applyAlignment="1">
      <alignment horizontal="center" vertical="center" wrapText="1"/>
    </xf>
    <xf numFmtId="182" fontId="4" fillId="36" borderId="29" xfId="0" applyNumberFormat="1" applyFont="1" applyFill="1" applyBorder="1" applyAlignment="1">
      <alignment horizontal="center" vertical="center" wrapText="1"/>
    </xf>
    <xf numFmtId="0" fontId="0" fillId="36" borderId="29" xfId="0" applyFill="1" applyBorder="1" applyAlignment="1">
      <alignment horizontal="center" vertical="center" wrapText="1"/>
    </xf>
    <xf numFmtId="0" fontId="0" fillId="36" borderId="1" xfId="0" applyFill="1" applyBorder="1" applyAlignment="1">
      <alignment horizontal="center" vertical="center" wrapText="1"/>
    </xf>
    <xf numFmtId="0" fontId="0" fillId="36" borderId="29" xfId="0" applyFill="1" applyBorder="1" applyAlignment="1">
      <alignment horizontal="center" vertical="center"/>
    </xf>
    <xf numFmtId="0" fontId="4" fillId="36" borderId="11" xfId="0" applyFont="1" applyFill="1" applyBorder="1" applyAlignment="1">
      <alignment horizontal="center" vertical="center" wrapText="1"/>
    </xf>
    <xf numFmtId="0" fontId="4" fillId="36" borderId="2" xfId="0" applyFont="1" applyFill="1" applyBorder="1" applyAlignment="1">
      <alignment horizontal="center" vertical="center" wrapText="1"/>
    </xf>
    <xf numFmtId="0" fontId="14" fillId="36" borderId="24" xfId="0" applyFont="1" applyFill="1" applyBorder="1" applyAlignment="1">
      <alignment horizontal="center" vertical="center"/>
    </xf>
    <xf numFmtId="0" fontId="13" fillId="36" borderId="24" xfId="0" applyFont="1" applyFill="1" applyBorder="1" applyAlignment="1">
      <alignment horizontal="center" vertical="center"/>
    </xf>
    <xf numFmtId="184" fontId="48" fillId="2" borderId="4" xfId="0" applyNumberFormat="1" applyFont="1" applyFill="1" applyBorder="1" applyAlignment="1" applyProtection="1">
      <alignment horizontal="center" vertical="center"/>
      <protection locked="0"/>
    </xf>
    <xf numFmtId="0" fontId="0" fillId="0" borderId="6" xfId="0" applyBorder="1" applyAlignment="1">
      <alignment horizontal="center" vertical="center"/>
    </xf>
    <xf numFmtId="184" fontId="48" fillId="2" borderId="29" xfId="0" applyNumberFormat="1" applyFont="1" applyFill="1" applyBorder="1" applyAlignment="1" applyProtection="1">
      <alignment horizontal="left" vertical="center"/>
      <protection locked="0"/>
    </xf>
    <xf numFmtId="184" fontId="48" fillId="2" borderId="26" xfId="0" applyNumberFormat="1" applyFont="1" applyFill="1" applyBorder="1" applyAlignment="1" applyProtection="1">
      <alignment horizontal="center" vertical="center"/>
      <protection locked="0"/>
    </xf>
    <xf numFmtId="184" fontId="48" fillId="2" borderId="28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Alignment="1">
      <alignment horizontal="center" vertical="center"/>
    </xf>
    <xf numFmtId="184" fontId="6" fillId="2" borderId="4" xfId="0" applyNumberFormat="1" applyFont="1" applyFill="1" applyBorder="1" applyAlignment="1" applyProtection="1">
      <alignment horizontal="center" vertical="center"/>
      <protection locked="0"/>
    </xf>
    <xf numFmtId="11" fontId="48" fillId="2" borderId="4" xfId="0" applyNumberFormat="1" applyFont="1" applyFill="1" applyBorder="1" applyAlignment="1" applyProtection="1">
      <alignment horizontal="center" vertical="center"/>
      <protection locked="0"/>
    </xf>
    <xf numFmtId="11" fontId="0" fillId="0" borderId="6" xfId="0" applyNumberFormat="1" applyBorder="1" applyAlignment="1">
      <alignment horizontal="center" vertical="center"/>
    </xf>
    <xf numFmtId="184" fontId="48" fillId="2" borderId="26" xfId="0" applyNumberFormat="1" applyFont="1" applyFill="1" applyBorder="1" applyAlignment="1" applyProtection="1">
      <alignment horizontal="left" vertical="center"/>
      <protection locked="0"/>
    </xf>
    <xf numFmtId="184" fontId="48" fillId="2" borderId="28" xfId="0" applyNumberFormat="1" applyFont="1" applyFill="1" applyBorder="1" applyAlignment="1" applyProtection="1">
      <alignment horizontal="left" vertical="center"/>
      <protection locked="0"/>
    </xf>
    <xf numFmtId="0" fontId="44" fillId="0" borderId="26" xfId="0" applyFont="1" applyBorder="1" applyAlignment="1">
      <alignment horizontal="center" vertical="center"/>
    </xf>
    <xf numFmtId="0" fontId="44" fillId="0" borderId="27" xfId="0" applyFont="1" applyBorder="1" applyAlignment="1">
      <alignment horizontal="center" vertical="center"/>
    </xf>
    <xf numFmtId="0" fontId="44" fillId="0" borderId="28" xfId="0" applyFont="1" applyBorder="1" applyAlignment="1">
      <alignment horizontal="center" vertical="center"/>
    </xf>
    <xf numFmtId="0" fontId="44" fillId="0" borderId="23" xfId="0" applyFont="1" applyBorder="1" applyAlignment="1">
      <alignment horizontal="center" vertical="center"/>
    </xf>
    <xf numFmtId="0" fontId="44" fillId="0" borderId="2" xfId="0" applyFont="1" applyBorder="1" applyAlignment="1">
      <alignment horizontal="center" vertical="center"/>
    </xf>
    <xf numFmtId="0" fontId="44" fillId="0" borderId="0" xfId="0" applyFont="1" applyAlignment="1">
      <alignment horizontal="left" vertical="center"/>
    </xf>
    <xf numFmtId="0" fontId="44" fillId="0" borderId="25" xfId="0" applyFont="1" applyBorder="1" applyAlignment="1">
      <alignment horizontal="left" vertical="center"/>
    </xf>
    <xf numFmtId="0" fontId="44" fillId="0" borderId="26" xfId="0" applyFont="1" applyBorder="1" applyAlignment="1">
      <alignment horizontal="left" vertical="center"/>
    </xf>
    <xf numFmtId="0" fontId="44" fillId="0" borderId="27" xfId="0" applyFont="1" applyBorder="1" applyAlignment="1">
      <alignment horizontal="left" vertical="center"/>
    </xf>
    <xf numFmtId="0" fontId="44" fillId="0" borderId="28" xfId="0" applyFont="1" applyBorder="1" applyAlignment="1">
      <alignment horizontal="left" vertical="center"/>
    </xf>
  </cellXfs>
  <cellStyles count="94">
    <cellStyle name="20% - 輔色1" xfId="24" builtinId="30" customBuiltin="1"/>
    <cellStyle name="20% - 輔色1 2" xfId="71" xr:uid="{00000000-0005-0000-0000-000001000000}"/>
    <cellStyle name="20% - 輔色2" xfId="28" builtinId="34" customBuiltin="1"/>
    <cellStyle name="20% - 輔色2 2" xfId="75" xr:uid="{00000000-0005-0000-0000-000003000000}"/>
    <cellStyle name="20% - 輔色3" xfId="32" builtinId="38" customBuiltin="1"/>
    <cellStyle name="20% - 輔色3 2" xfId="79" xr:uid="{00000000-0005-0000-0000-000005000000}"/>
    <cellStyle name="20% - 輔色4" xfId="36" builtinId="42" customBuiltin="1"/>
    <cellStyle name="20% - 輔色4 2" xfId="83" xr:uid="{00000000-0005-0000-0000-000007000000}"/>
    <cellStyle name="20% - 輔色5" xfId="40" builtinId="46" customBuiltin="1"/>
    <cellStyle name="20% - 輔色5 2" xfId="87" xr:uid="{00000000-0005-0000-0000-000009000000}"/>
    <cellStyle name="20% - 輔色6" xfId="44" builtinId="50" customBuiltin="1"/>
    <cellStyle name="20% - 輔色6 2" xfId="91" xr:uid="{00000000-0005-0000-0000-00000B000000}"/>
    <cellStyle name="40% - 輔色1" xfId="25" builtinId="31" customBuiltin="1"/>
    <cellStyle name="40% - 輔色1 2" xfId="72" xr:uid="{00000000-0005-0000-0000-00000D000000}"/>
    <cellStyle name="40% - 輔色2" xfId="29" builtinId="35" customBuiltin="1"/>
    <cellStyle name="40% - 輔色2 2" xfId="76" xr:uid="{00000000-0005-0000-0000-00000F000000}"/>
    <cellStyle name="40% - 輔色3" xfId="33" builtinId="39" customBuiltin="1"/>
    <cellStyle name="40% - 輔色3 2" xfId="80" xr:uid="{00000000-0005-0000-0000-000011000000}"/>
    <cellStyle name="40% - 輔色4" xfId="37" builtinId="43" customBuiltin="1"/>
    <cellStyle name="40% - 輔色4 2" xfId="84" xr:uid="{00000000-0005-0000-0000-000013000000}"/>
    <cellStyle name="40% - 輔色5" xfId="41" builtinId="47" customBuiltin="1"/>
    <cellStyle name="40% - 輔色5 2" xfId="88" xr:uid="{00000000-0005-0000-0000-000015000000}"/>
    <cellStyle name="40% - 輔色6" xfId="45" builtinId="51" customBuiltin="1"/>
    <cellStyle name="40% - 輔色6 2" xfId="92" xr:uid="{00000000-0005-0000-0000-000017000000}"/>
    <cellStyle name="60% - 輔色1" xfId="26" builtinId="32" customBuiltin="1"/>
    <cellStyle name="60% - 輔色1 2" xfId="73" xr:uid="{00000000-0005-0000-0000-000019000000}"/>
    <cellStyle name="60% - 輔色2" xfId="30" builtinId="36" customBuiltin="1"/>
    <cellStyle name="60% - 輔色2 2" xfId="77" xr:uid="{00000000-0005-0000-0000-00001B000000}"/>
    <cellStyle name="60% - 輔色3" xfId="34" builtinId="40" customBuiltin="1"/>
    <cellStyle name="60% - 輔色3 2" xfId="81" xr:uid="{00000000-0005-0000-0000-00001D000000}"/>
    <cellStyle name="60% - 輔色4" xfId="38" builtinId="44" customBuiltin="1"/>
    <cellStyle name="60% - 輔色4 2" xfId="85" xr:uid="{00000000-0005-0000-0000-00001F000000}"/>
    <cellStyle name="60% - 輔色5" xfId="42" builtinId="48" customBuiltin="1"/>
    <cellStyle name="60% - 輔色5 2" xfId="89" xr:uid="{00000000-0005-0000-0000-000021000000}"/>
    <cellStyle name="60% - 輔色6" xfId="46" builtinId="52" customBuiltin="1"/>
    <cellStyle name="60% - 輔色6 2" xfId="93" xr:uid="{00000000-0005-0000-0000-000023000000}"/>
    <cellStyle name="OBI_ColHeader" xfId="47" xr:uid="{00000000-0005-0000-0000-000024000000}"/>
    <cellStyle name="一般" xfId="0" builtinId="0" customBuiltin="1"/>
    <cellStyle name="一般 2" xfId="2" xr:uid="{00000000-0005-0000-0000-000026000000}"/>
    <cellStyle name="一般 3" xfId="49" xr:uid="{00000000-0005-0000-0000-000027000000}"/>
    <cellStyle name="一般 4" xfId="48" xr:uid="{00000000-0005-0000-0000-000028000000}"/>
    <cellStyle name="一般_03E-輪摘" xfId="1" xr:uid="{00000000-0005-0000-0000-000029000000}"/>
    <cellStyle name="千分位" xfId="3" builtinId="3" customBuiltin="1"/>
    <cellStyle name="千分位 2" xfId="50" xr:uid="{00000000-0005-0000-0000-00002B000000}"/>
    <cellStyle name="千分位[0]" xfId="4" builtinId="6" customBuiltin="1"/>
    <cellStyle name="千分位[0] 2" xfId="51" xr:uid="{00000000-0005-0000-0000-00002D000000}"/>
    <cellStyle name="中等" xfId="14" builtinId="28" customBuiltin="1"/>
    <cellStyle name="中等 2" xfId="61" xr:uid="{00000000-0005-0000-0000-00002F000000}"/>
    <cellStyle name="合計" xfId="22" builtinId="25" customBuiltin="1"/>
    <cellStyle name="合計 2" xfId="69" xr:uid="{00000000-0005-0000-0000-000031000000}"/>
    <cellStyle name="好" xfId="12" builtinId="26" customBuiltin="1"/>
    <cellStyle name="好 2" xfId="59" xr:uid="{00000000-0005-0000-0000-000033000000}"/>
    <cellStyle name="計算方式" xfId="17" builtinId="22" customBuiltin="1"/>
    <cellStyle name="計算方式 2" xfId="64" xr:uid="{00000000-0005-0000-0000-000035000000}"/>
    <cellStyle name="貨幣" xfId="5" builtinId="4" customBuiltin="1"/>
    <cellStyle name="貨幣 [0]" xfId="6" builtinId="7" customBuiltin="1"/>
    <cellStyle name="貨幣 [0] 2" xfId="53" xr:uid="{00000000-0005-0000-0000-000038000000}"/>
    <cellStyle name="貨幣 2" xfId="52" xr:uid="{00000000-0005-0000-0000-000039000000}"/>
    <cellStyle name="連結的儲存格" xfId="18" builtinId="24" customBuiltin="1"/>
    <cellStyle name="連結的儲存格 2" xfId="65" xr:uid="{00000000-0005-0000-0000-00003B000000}"/>
    <cellStyle name="說明文字" xfId="21" builtinId="53" customBuiltin="1"/>
    <cellStyle name="說明文字 2" xfId="68" xr:uid="{00000000-0005-0000-0000-00003D000000}"/>
    <cellStyle name="輔色1" xfId="23" builtinId="29" customBuiltin="1"/>
    <cellStyle name="輔色1 2" xfId="70" xr:uid="{00000000-0005-0000-0000-00003F000000}"/>
    <cellStyle name="輔色2" xfId="27" builtinId="33" customBuiltin="1"/>
    <cellStyle name="輔色2 2" xfId="74" xr:uid="{00000000-0005-0000-0000-000041000000}"/>
    <cellStyle name="輔色3" xfId="31" builtinId="37" customBuiltin="1"/>
    <cellStyle name="輔色3 2" xfId="78" xr:uid="{00000000-0005-0000-0000-000043000000}"/>
    <cellStyle name="輔色4" xfId="35" builtinId="41" customBuiltin="1"/>
    <cellStyle name="輔色4 2" xfId="82" xr:uid="{00000000-0005-0000-0000-000045000000}"/>
    <cellStyle name="輔色5" xfId="39" builtinId="45" customBuiltin="1"/>
    <cellStyle name="輔色5 2" xfId="86" xr:uid="{00000000-0005-0000-0000-000047000000}"/>
    <cellStyle name="輔色6" xfId="43" builtinId="49" customBuiltin="1"/>
    <cellStyle name="輔色6 2" xfId="90" xr:uid="{00000000-0005-0000-0000-000049000000}"/>
    <cellStyle name="標題" xfId="7" builtinId="15" customBuiltin="1"/>
    <cellStyle name="標題 1" xfId="8" builtinId="16" customBuiltin="1"/>
    <cellStyle name="標題 1 2" xfId="55" xr:uid="{00000000-0005-0000-0000-00004C000000}"/>
    <cellStyle name="標題 2" xfId="9" builtinId="17" customBuiltin="1"/>
    <cellStyle name="標題 2 2" xfId="56" xr:uid="{00000000-0005-0000-0000-00004E000000}"/>
    <cellStyle name="標題 3" xfId="10" builtinId="18" customBuiltin="1"/>
    <cellStyle name="標題 3 2" xfId="57" xr:uid="{00000000-0005-0000-0000-000050000000}"/>
    <cellStyle name="標題 4" xfId="11" builtinId="19" customBuiltin="1"/>
    <cellStyle name="標題 4 2" xfId="58" xr:uid="{00000000-0005-0000-0000-000052000000}"/>
    <cellStyle name="標題 5" xfId="54" xr:uid="{00000000-0005-0000-0000-000053000000}"/>
    <cellStyle name="輸入" xfId="15" builtinId="20" customBuiltin="1"/>
    <cellStyle name="輸入 2" xfId="62" xr:uid="{00000000-0005-0000-0000-000055000000}"/>
    <cellStyle name="輸出" xfId="16" builtinId="21" customBuiltin="1"/>
    <cellStyle name="輸出 2" xfId="63" xr:uid="{00000000-0005-0000-0000-000057000000}"/>
    <cellStyle name="檢查儲存格" xfId="19" builtinId="23" customBuiltin="1"/>
    <cellStyle name="檢查儲存格 2" xfId="66" xr:uid="{00000000-0005-0000-0000-000059000000}"/>
    <cellStyle name="壞" xfId="13" builtinId="27" customBuiltin="1"/>
    <cellStyle name="壞 2" xfId="60" xr:uid="{00000000-0005-0000-0000-00005B000000}"/>
    <cellStyle name="警告文字" xfId="20" builtinId="11" customBuiltin="1"/>
    <cellStyle name="警告文字 2" xfId="67" xr:uid="{00000000-0005-0000-0000-00005D000000}"/>
  </cellStyles>
  <dxfs count="116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FFFFCC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gif"/><Relationship Id="rId2" Type="http://schemas.openxmlformats.org/officeDocument/2006/relationships/image" Target="../media/image2.gif"/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314326</xdr:colOff>
      <xdr:row>19</xdr:row>
      <xdr:rowOff>66675</xdr:rowOff>
    </xdr:from>
    <xdr:to>
      <xdr:col>3</xdr:col>
      <xdr:colOff>971550</xdr:colOff>
      <xdr:row>23</xdr:row>
      <xdr:rowOff>206668</xdr:rowOff>
    </xdr:to>
    <xdr:pic>
      <xdr:nvPicPr>
        <xdr:cNvPr id="2" name="圖片 1" descr="EEOI.gif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33526" y="3400425"/>
          <a:ext cx="2943224" cy="978193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28</xdr:row>
      <xdr:rowOff>1</xdr:rowOff>
    </xdr:from>
    <xdr:to>
      <xdr:col>3</xdr:col>
      <xdr:colOff>1181100</xdr:colOff>
      <xdr:row>31</xdr:row>
      <xdr:rowOff>171773</xdr:rowOff>
    </xdr:to>
    <xdr:pic>
      <xdr:nvPicPr>
        <xdr:cNvPr id="3" name="圖片 2" descr="EEOI-average.gif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219200" y="4791076"/>
          <a:ext cx="3467100" cy="800422"/>
        </a:xfrm>
        <a:prstGeom prst="rect">
          <a:avLst/>
        </a:prstGeom>
      </xdr:spPr>
    </xdr:pic>
    <xdr:clientData/>
  </xdr:twoCellAnchor>
  <xdr:twoCellAnchor editAs="oneCell">
    <xdr:from>
      <xdr:col>2</xdr:col>
      <xdr:colOff>9525</xdr:colOff>
      <xdr:row>76</xdr:row>
      <xdr:rowOff>28576</xdr:rowOff>
    </xdr:from>
    <xdr:to>
      <xdr:col>5</xdr:col>
      <xdr:colOff>2152650</xdr:colOff>
      <xdr:row>81</xdr:row>
      <xdr:rowOff>28576</xdr:rowOff>
    </xdr:to>
    <xdr:pic>
      <xdr:nvPicPr>
        <xdr:cNvPr id="4" name="圖片 3" descr="EEOI-1.gif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228725" y="13106401"/>
          <a:ext cx="8496300" cy="1047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1048574"/>
  <sheetViews>
    <sheetView tabSelected="1" zoomScale="85" zoomScaleNormal="85" zoomScaleSheetLayoutView="70" workbookViewId="0">
      <pane xSplit="5" ySplit="4" topLeftCell="AJ73" activePane="bottomRight" state="frozen"/>
      <selection pane="topRight" activeCell="F1" sqref="F1"/>
      <selection pane="bottomLeft" activeCell="A5" sqref="A5"/>
      <selection pane="bottomRight" activeCell="AQ74" sqref="AQ74:AQ75"/>
    </sheetView>
  </sheetViews>
  <sheetFormatPr defaultColWidth="9" defaultRowHeight="13.5"/>
  <cols>
    <col min="1" max="1" width="15.54296875" style="1" customWidth="1"/>
    <col min="2" max="2" width="14" style="1" customWidth="1"/>
    <col min="3" max="3" width="13.54296875" style="1" customWidth="1"/>
    <col min="4" max="4" width="14.453125" style="1" customWidth="1"/>
    <col min="5" max="5" width="17" style="3" customWidth="1"/>
    <col min="6" max="6" width="18.1796875" style="3" customWidth="1"/>
    <col min="7" max="7" width="6.54296875" style="6" customWidth="1"/>
    <col min="8" max="9" width="6.54296875" style="5" customWidth="1"/>
    <col min="10" max="10" width="6.54296875" style="6" customWidth="1"/>
    <col min="11" max="11" width="6.54296875" style="5" customWidth="1"/>
    <col min="12" max="12" width="5.54296875" style="5" customWidth="1"/>
    <col min="13" max="13" width="8.453125" style="5" customWidth="1"/>
    <col min="14" max="14" width="9.54296875" style="5" customWidth="1"/>
    <col min="15" max="17" width="6.54296875" style="5" customWidth="1"/>
    <col min="18" max="19" width="6.54296875" style="1" customWidth="1"/>
    <col min="20" max="20" width="7.54296875" style="1" customWidth="1"/>
    <col min="21" max="21" width="13.453125" style="1" customWidth="1"/>
    <col min="22" max="22" width="6.54296875" style="1" customWidth="1"/>
    <col min="23" max="23" width="12.453125" style="1" customWidth="1"/>
    <col min="24" max="26" width="10.54296875" style="1" customWidth="1"/>
    <col min="27" max="27" width="10.54296875" style="5" customWidth="1"/>
    <col min="28" max="28" width="8.54296875" style="5" customWidth="1"/>
    <col min="29" max="29" width="13" style="5" customWidth="1"/>
    <col min="30" max="31" width="15" style="6" customWidth="1"/>
    <col min="32" max="32" width="11.453125" style="6" customWidth="1"/>
    <col min="33" max="33" width="10.453125" style="6" customWidth="1"/>
    <col min="34" max="37" width="23.453125" style="2" customWidth="1"/>
    <col min="38" max="38" width="16.54296875" style="2" customWidth="1"/>
    <col min="39" max="42" width="8.54296875" style="2" customWidth="1"/>
    <col min="43" max="43" width="10.54296875" style="14" bestFit="1" customWidth="1"/>
    <col min="44" max="45" width="8.54296875" style="14" customWidth="1"/>
    <col min="46" max="46" width="15" style="15" hidden="1" customWidth="1"/>
    <col min="47" max="47" width="15" style="51" customWidth="1"/>
    <col min="48" max="48" width="10.453125" style="15" customWidth="1"/>
    <col min="49" max="49" width="19.453125" style="1" customWidth="1"/>
    <col min="50" max="16384" width="9" style="1"/>
  </cols>
  <sheetData>
    <row r="1" spans="1:49" ht="28.4" customHeight="1">
      <c r="A1" s="82" t="s">
        <v>110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4"/>
      <c r="AE1" s="84"/>
      <c r="AF1" s="84"/>
      <c r="AG1" s="84"/>
      <c r="AH1" s="84"/>
      <c r="AI1" s="84"/>
      <c r="AJ1" s="84"/>
      <c r="AK1" s="84"/>
      <c r="AL1" s="84"/>
      <c r="AM1" s="84"/>
      <c r="AN1" s="84"/>
      <c r="AO1" s="84"/>
      <c r="AP1" s="84"/>
      <c r="AQ1" s="84"/>
      <c r="AR1" s="84"/>
      <c r="AS1" s="84"/>
      <c r="AT1" s="84"/>
      <c r="AU1" s="84"/>
      <c r="AV1" s="84"/>
      <c r="AW1" s="84"/>
    </row>
    <row r="2" spans="1:49" s="2" customFormat="1" ht="53.25" customHeight="1">
      <c r="A2" s="85" t="s">
        <v>14</v>
      </c>
      <c r="B2" s="85" t="s">
        <v>0</v>
      </c>
      <c r="C2" s="86" t="s">
        <v>27</v>
      </c>
      <c r="D2" s="86" t="s">
        <v>28</v>
      </c>
      <c r="E2" s="87" t="s">
        <v>25</v>
      </c>
      <c r="F2" s="89" t="s">
        <v>26</v>
      </c>
      <c r="G2" s="92" t="s">
        <v>1</v>
      </c>
      <c r="H2" s="93"/>
      <c r="I2" s="93"/>
      <c r="J2" s="93"/>
      <c r="K2" s="94"/>
      <c r="L2" s="95"/>
      <c r="M2" s="96" t="s">
        <v>15</v>
      </c>
      <c r="N2" s="97"/>
      <c r="O2" s="97"/>
      <c r="P2" s="97"/>
      <c r="Q2" s="98"/>
      <c r="R2" s="99" t="s">
        <v>19</v>
      </c>
      <c r="S2" s="99"/>
      <c r="T2" s="89" t="s">
        <v>7</v>
      </c>
      <c r="U2" s="116" t="s">
        <v>95</v>
      </c>
      <c r="V2" s="117" t="s">
        <v>37</v>
      </c>
      <c r="W2" s="118"/>
      <c r="X2" s="118"/>
      <c r="Y2" s="118"/>
      <c r="Z2" s="119"/>
      <c r="AA2" s="39" t="s">
        <v>20</v>
      </c>
      <c r="AB2" s="111" t="s">
        <v>111</v>
      </c>
      <c r="AC2" s="120" t="s">
        <v>105</v>
      </c>
      <c r="AD2" s="121"/>
      <c r="AE2" s="121"/>
      <c r="AF2" s="121"/>
      <c r="AG2" s="119"/>
      <c r="AH2" s="117" t="s">
        <v>98</v>
      </c>
      <c r="AI2" s="121"/>
      <c r="AJ2" s="121"/>
      <c r="AK2" s="119"/>
      <c r="AL2" s="126" t="s">
        <v>30</v>
      </c>
      <c r="AM2" s="134" t="s">
        <v>31</v>
      </c>
      <c r="AN2" s="135"/>
      <c r="AO2" s="135"/>
      <c r="AP2" s="135"/>
      <c r="AQ2" s="100" t="s">
        <v>34</v>
      </c>
      <c r="AR2" s="101"/>
      <c r="AS2" s="100"/>
      <c r="AT2" s="102" t="s">
        <v>39</v>
      </c>
      <c r="AU2" s="102" t="s">
        <v>39</v>
      </c>
      <c r="AV2" s="105" t="s">
        <v>35</v>
      </c>
      <c r="AW2" s="106"/>
    </row>
    <row r="3" spans="1:49" s="2" customFormat="1" ht="34.5" customHeight="1">
      <c r="A3" s="85"/>
      <c r="B3" s="85"/>
      <c r="C3" s="86"/>
      <c r="D3" s="86"/>
      <c r="E3" s="87"/>
      <c r="F3" s="90"/>
      <c r="G3" s="92" t="s">
        <v>21</v>
      </c>
      <c r="H3" s="93"/>
      <c r="I3" s="95"/>
      <c r="J3" s="92" t="s">
        <v>13</v>
      </c>
      <c r="K3" s="93"/>
      <c r="L3" s="95"/>
      <c r="M3" s="124" t="s">
        <v>15</v>
      </c>
      <c r="N3" s="111" t="s">
        <v>9</v>
      </c>
      <c r="O3" s="111" t="s">
        <v>22</v>
      </c>
      <c r="P3" s="111" t="s">
        <v>10</v>
      </c>
      <c r="Q3" s="111" t="s">
        <v>16</v>
      </c>
      <c r="R3" s="111" t="s">
        <v>23</v>
      </c>
      <c r="S3" s="111" t="s">
        <v>24</v>
      </c>
      <c r="T3" s="114"/>
      <c r="U3" s="103"/>
      <c r="V3" s="111" t="s">
        <v>11</v>
      </c>
      <c r="W3" s="111" t="s">
        <v>97</v>
      </c>
      <c r="X3" s="111" t="s">
        <v>29</v>
      </c>
      <c r="Y3" s="122" t="s">
        <v>106</v>
      </c>
      <c r="Z3" s="122" t="s">
        <v>107</v>
      </c>
      <c r="AA3" s="111" t="s">
        <v>97</v>
      </c>
      <c r="AB3" s="103"/>
      <c r="AC3" s="128" t="s">
        <v>101</v>
      </c>
      <c r="AD3" s="129" t="s">
        <v>102</v>
      </c>
      <c r="AE3" s="130" t="s">
        <v>112</v>
      </c>
      <c r="AF3" s="129" t="s">
        <v>103</v>
      </c>
      <c r="AG3" s="129" t="s">
        <v>104</v>
      </c>
      <c r="AH3" s="126" t="s">
        <v>99</v>
      </c>
      <c r="AI3" s="129" t="s">
        <v>100</v>
      </c>
      <c r="AJ3" s="126" t="s">
        <v>108</v>
      </c>
      <c r="AK3" s="111" t="s">
        <v>109</v>
      </c>
      <c r="AL3" s="132"/>
      <c r="AM3" s="127" t="s">
        <v>3</v>
      </c>
      <c r="AN3" s="113" t="s">
        <v>4</v>
      </c>
      <c r="AO3" s="113" t="s">
        <v>32</v>
      </c>
      <c r="AP3" s="113" t="s">
        <v>33</v>
      </c>
      <c r="AQ3" s="111" t="s">
        <v>3</v>
      </c>
      <c r="AR3" s="113" t="s">
        <v>32</v>
      </c>
      <c r="AS3" s="113" t="s">
        <v>36</v>
      </c>
      <c r="AT3" s="103"/>
      <c r="AU3" s="90"/>
      <c r="AV3" s="107"/>
      <c r="AW3" s="108"/>
    </row>
    <row r="4" spans="1:49" s="2" customFormat="1" ht="182.25" customHeight="1">
      <c r="A4" s="85"/>
      <c r="B4" s="85"/>
      <c r="C4" s="86"/>
      <c r="D4" s="86"/>
      <c r="E4" s="88"/>
      <c r="F4" s="91"/>
      <c r="G4" s="22" t="s">
        <v>17</v>
      </c>
      <c r="H4" s="22" t="s">
        <v>8</v>
      </c>
      <c r="I4" s="22" t="s">
        <v>18</v>
      </c>
      <c r="J4" s="22" t="s">
        <v>17</v>
      </c>
      <c r="K4" s="22" t="s">
        <v>8</v>
      </c>
      <c r="L4" s="22" t="s">
        <v>12</v>
      </c>
      <c r="M4" s="125"/>
      <c r="N4" s="112"/>
      <c r="O4" s="112"/>
      <c r="P4" s="112"/>
      <c r="Q4" s="112"/>
      <c r="R4" s="112"/>
      <c r="S4" s="112"/>
      <c r="T4" s="115"/>
      <c r="U4" s="104"/>
      <c r="V4" s="112" t="s">
        <v>11</v>
      </c>
      <c r="W4" s="104"/>
      <c r="X4" s="112"/>
      <c r="Y4" s="123"/>
      <c r="Z4" s="123"/>
      <c r="AA4" s="104"/>
      <c r="AB4" s="104"/>
      <c r="AC4" s="129"/>
      <c r="AD4" s="129"/>
      <c r="AE4" s="104"/>
      <c r="AF4" s="129"/>
      <c r="AG4" s="129"/>
      <c r="AH4" s="104"/>
      <c r="AI4" s="131"/>
      <c r="AJ4" s="123"/>
      <c r="AK4" s="112" t="s">
        <v>2</v>
      </c>
      <c r="AL4" s="133"/>
      <c r="AM4" s="112" t="s">
        <v>3</v>
      </c>
      <c r="AN4" s="91" t="s">
        <v>4</v>
      </c>
      <c r="AO4" s="91" t="s">
        <v>5</v>
      </c>
      <c r="AP4" s="91" t="s">
        <v>6</v>
      </c>
      <c r="AQ4" s="112" t="s">
        <v>3</v>
      </c>
      <c r="AR4" s="91" t="s">
        <v>5</v>
      </c>
      <c r="AS4" s="91" t="s">
        <v>5</v>
      </c>
      <c r="AT4" s="104"/>
      <c r="AU4" s="91"/>
      <c r="AV4" s="109"/>
      <c r="AW4" s="110"/>
    </row>
    <row r="5" spans="1:49" s="4" customFormat="1" ht="19.399999999999999" customHeight="1">
      <c r="A5" s="18" t="s">
        <v>134</v>
      </c>
      <c r="B5" s="18" t="s">
        <v>952</v>
      </c>
      <c r="C5" s="19" t="s">
        <v>368</v>
      </c>
      <c r="D5" s="19" t="s">
        <v>710</v>
      </c>
      <c r="E5" s="19" t="s">
        <v>978</v>
      </c>
      <c r="F5" s="58">
        <v>8</v>
      </c>
      <c r="G5" s="43">
        <v>23</v>
      </c>
      <c r="H5" s="44">
        <v>51.8</v>
      </c>
      <c r="I5" s="44" t="s">
        <v>38</v>
      </c>
      <c r="J5" s="43">
        <v>119</v>
      </c>
      <c r="K5" s="44">
        <v>54.2</v>
      </c>
      <c r="L5" s="44" t="s">
        <v>122</v>
      </c>
      <c r="M5" s="43" t="s">
        <v>117</v>
      </c>
      <c r="N5" s="45">
        <v>3</v>
      </c>
      <c r="O5" s="45">
        <v>5</v>
      </c>
      <c r="P5" s="45">
        <v>3</v>
      </c>
      <c r="Q5" s="45">
        <v>2</v>
      </c>
      <c r="R5" s="46">
        <v>4</v>
      </c>
      <c r="S5" s="46">
        <v>4.25</v>
      </c>
      <c r="T5" s="46">
        <v>350</v>
      </c>
      <c r="U5" s="47">
        <v>3038</v>
      </c>
      <c r="V5" s="23">
        <v>24</v>
      </c>
      <c r="W5" s="38">
        <v>19.7</v>
      </c>
      <c r="X5" s="38">
        <v>4.3</v>
      </c>
      <c r="Y5" s="38">
        <v>0</v>
      </c>
      <c r="Z5" s="38">
        <v>0</v>
      </c>
      <c r="AA5" s="44">
        <v>159</v>
      </c>
      <c r="AB5" s="44">
        <f t="shared" ref="AB5" si="0">AA5/24</f>
        <v>6.625</v>
      </c>
      <c r="AC5" s="52" t="s">
        <v>125</v>
      </c>
      <c r="AD5" s="52" t="s">
        <v>975</v>
      </c>
      <c r="AE5" s="52"/>
      <c r="AF5" s="52" t="s">
        <v>976</v>
      </c>
      <c r="AG5" s="52" t="s">
        <v>977</v>
      </c>
      <c r="AH5" s="52">
        <v>3</v>
      </c>
      <c r="AI5" s="52">
        <v>0.4</v>
      </c>
      <c r="AJ5" s="52">
        <v>0</v>
      </c>
      <c r="AK5" s="21">
        <v>0</v>
      </c>
      <c r="AL5" s="24">
        <v>3.4</v>
      </c>
      <c r="AM5" s="12"/>
      <c r="AN5" s="12"/>
      <c r="AO5" s="12"/>
      <c r="AP5" s="12"/>
      <c r="AQ5" s="55">
        <v>289</v>
      </c>
      <c r="AR5" s="21"/>
      <c r="AS5" s="12">
        <v>189</v>
      </c>
      <c r="AT5" s="72"/>
      <c r="AU5" s="73"/>
      <c r="AV5" s="138"/>
      <c r="AW5" s="138"/>
    </row>
    <row r="6" spans="1:49" s="4" customFormat="1" ht="19.399999999999999" customHeight="1">
      <c r="A6" s="18" t="s">
        <v>134</v>
      </c>
      <c r="B6" s="18" t="s">
        <v>952</v>
      </c>
      <c r="C6" s="19" t="s">
        <v>368</v>
      </c>
      <c r="D6" s="19" t="s">
        <v>710</v>
      </c>
      <c r="E6" s="19" t="s">
        <v>979</v>
      </c>
      <c r="F6" s="58">
        <v>8</v>
      </c>
      <c r="G6" s="43">
        <v>22</v>
      </c>
      <c r="H6" s="44">
        <v>57.9</v>
      </c>
      <c r="I6" s="44" t="s">
        <v>38</v>
      </c>
      <c r="J6" s="43">
        <v>120</v>
      </c>
      <c r="K6" s="44">
        <v>10.199999999999999</v>
      </c>
      <c r="L6" s="44" t="s">
        <v>122</v>
      </c>
      <c r="M6" s="43" t="s">
        <v>115</v>
      </c>
      <c r="N6" s="45">
        <v>2</v>
      </c>
      <c r="O6" s="45">
        <v>3</v>
      </c>
      <c r="P6" s="45">
        <v>1</v>
      </c>
      <c r="Q6" s="45">
        <v>1</v>
      </c>
      <c r="R6" s="46">
        <v>4</v>
      </c>
      <c r="S6" s="46">
        <v>4.25</v>
      </c>
      <c r="T6" s="46">
        <v>350</v>
      </c>
      <c r="U6" s="47">
        <v>3038</v>
      </c>
      <c r="V6" s="23">
        <v>24</v>
      </c>
      <c r="W6" s="38">
        <v>6.8</v>
      </c>
      <c r="X6" s="38">
        <v>13</v>
      </c>
      <c r="Y6" s="38">
        <v>4.2</v>
      </c>
      <c r="Z6" s="38">
        <v>0</v>
      </c>
      <c r="AA6" s="44">
        <v>70.400000000000006</v>
      </c>
      <c r="AB6" s="44">
        <f t="shared" ref="AB6" si="1">AA6/24</f>
        <v>2.9333333333333336</v>
      </c>
      <c r="AC6" s="52" t="s">
        <v>113</v>
      </c>
      <c r="AD6" s="19">
        <v>211</v>
      </c>
      <c r="AE6" s="40"/>
      <c r="AF6" s="40">
        <v>0</v>
      </c>
      <c r="AG6" s="19">
        <v>0</v>
      </c>
      <c r="AH6" s="21">
        <v>1.6</v>
      </c>
      <c r="AI6" s="21">
        <v>1.8</v>
      </c>
      <c r="AJ6" s="21">
        <v>0.3</v>
      </c>
      <c r="AK6" s="21">
        <v>0</v>
      </c>
      <c r="AL6" s="24">
        <f>AH6+AI6+AJ6+AK6</f>
        <v>3.7</v>
      </c>
      <c r="AM6" s="12"/>
      <c r="AN6" s="12"/>
      <c r="AO6" s="12"/>
      <c r="AP6" s="12"/>
      <c r="AQ6" s="55">
        <f t="shared" ref="AQ6:AQ25" si="2">AQ5-AL6</f>
        <v>285.3</v>
      </c>
      <c r="AR6" s="21"/>
      <c r="AS6" s="12">
        <v>180</v>
      </c>
      <c r="AT6" s="26"/>
      <c r="AU6" s="49"/>
      <c r="AV6" s="136" t="s">
        <v>980</v>
      </c>
      <c r="AW6" s="137"/>
    </row>
    <row r="7" spans="1:49" s="4" customFormat="1" ht="19.399999999999999" customHeight="1">
      <c r="A7" s="18" t="s">
        <v>134</v>
      </c>
      <c r="B7" s="18" t="s">
        <v>952</v>
      </c>
      <c r="C7" s="19" t="s">
        <v>368</v>
      </c>
      <c r="D7" s="19" t="s">
        <v>710</v>
      </c>
      <c r="E7" s="19" t="s">
        <v>981</v>
      </c>
      <c r="F7" s="58">
        <v>8</v>
      </c>
      <c r="G7" s="43">
        <v>22</v>
      </c>
      <c r="H7" s="44">
        <v>57.9</v>
      </c>
      <c r="I7" s="44" t="s">
        <v>38</v>
      </c>
      <c r="J7" s="43">
        <v>120</v>
      </c>
      <c r="K7" s="44">
        <v>10.199999999999999</v>
      </c>
      <c r="L7" s="44" t="s">
        <v>122</v>
      </c>
      <c r="M7" s="43" t="s">
        <v>115</v>
      </c>
      <c r="N7" s="45">
        <v>2</v>
      </c>
      <c r="O7" s="45">
        <v>5</v>
      </c>
      <c r="P7" s="45">
        <v>1</v>
      </c>
      <c r="Q7" s="45">
        <v>1</v>
      </c>
      <c r="R7" s="46">
        <v>4</v>
      </c>
      <c r="S7" s="46">
        <v>4.25</v>
      </c>
      <c r="T7" s="46">
        <v>350</v>
      </c>
      <c r="U7" s="47">
        <v>3038</v>
      </c>
      <c r="V7" s="23">
        <v>24</v>
      </c>
      <c r="W7" s="38">
        <v>0</v>
      </c>
      <c r="X7" s="38">
        <v>0</v>
      </c>
      <c r="Y7" s="38">
        <v>24</v>
      </c>
      <c r="Z7" s="38">
        <v>0</v>
      </c>
      <c r="AA7" s="44">
        <v>0</v>
      </c>
      <c r="AB7" s="44">
        <v>0</v>
      </c>
      <c r="AC7" s="52" t="s">
        <v>113</v>
      </c>
      <c r="AD7" s="19">
        <v>242</v>
      </c>
      <c r="AE7" s="40"/>
      <c r="AF7" s="40">
        <v>0</v>
      </c>
      <c r="AG7" s="19">
        <v>0</v>
      </c>
      <c r="AH7" s="21">
        <v>0</v>
      </c>
      <c r="AI7" s="21">
        <v>0</v>
      </c>
      <c r="AJ7" s="21">
        <v>1.2</v>
      </c>
      <c r="AK7" s="21">
        <v>0</v>
      </c>
      <c r="AL7" s="24">
        <f>AH7+AI7+AJ7+AK7</f>
        <v>1.2</v>
      </c>
      <c r="AM7" s="12"/>
      <c r="AN7" s="12"/>
      <c r="AO7" s="12"/>
      <c r="AP7" s="12"/>
      <c r="AQ7" s="55">
        <f t="shared" si="2"/>
        <v>284.10000000000002</v>
      </c>
      <c r="AR7" s="21"/>
      <c r="AS7" s="12">
        <v>270</v>
      </c>
      <c r="AT7" s="26"/>
      <c r="AU7" s="49"/>
      <c r="AV7" s="136" t="s">
        <v>982</v>
      </c>
      <c r="AW7" s="137"/>
    </row>
    <row r="8" spans="1:49" s="4" customFormat="1" ht="19.399999999999999" customHeight="1">
      <c r="A8" s="18" t="s">
        <v>134</v>
      </c>
      <c r="B8" s="18" t="s">
        <v>952</v>
      </c>
      <c r="C8" s="19" t="s">
        <v>368</v>
      </c>
      <c r="D8" s="19" t="s">
        <v>710</v>
      </c>
      <c r="E8" s="19" t="s">
        <v>983</v>
      </c>
      <c r="F8" s="58">
        <v>8</v>
      </c>
      <c r="G8" s="43">
        <v>22</v>
      </c>
      <c r="H8" s="44">
        <v>57.9</v>
      </c>
      <c r="I8" s="44" t="s">
        <v>38</v>
      </c>
      <c r="J8" s="43">
        <v>120</v>
      </c>
      <c r="K8" s="44">
        <v>10.199999999999999</v>
      </c>
      <c r="L8" s="44" t="s">
        <v>122</v>
      </c>
      <c r="M8" s="43" t="s">
        <v>116</v>
      </c>
      <c r="N8" s="45">
        <v>2</v>
      </c>
      <c r="O8" s="45">
        <v>3</v>
      </c>
      <c r="P8" s="45">
        <v>1</v>
      </c>
      <c r="Q8" s="45">
        <v>1</v>
      </c>
      <c r="R8" s="46">
        <v>4</v>
      </c>
      <c r="S8" s="46">
        <v>4.25</v>
      </c>
      <c r="T8" s="46">
        <v>350</v>
      </c>
      <c r="U8" s="47">
        <v>3038</v>
      </c>
      <c r="V8" s="23">
        <v>24</v>
      </c>
      <c r="W8" s="38">
        <v>0</v>
      </c>
      <c r="X8" s="38">
        <v>0</v>
      </c>
      <c r="Y8" s="38">
        <v>24</v>
      </c>
      <c r="Z8" s="38">
        <v>0</v>
      </c>
      <c r="AA8" s="44">
        <v>0</v>
      </c>
      <c r="AB8" s="44">
        <v>0</v>
      </c>
      <c r="AC8" s="52" t="s">
        <v>113</v>
      </c>
      <c r="AD8" s="19">
        <v>231</v>
      </c>
      <c r="AE8" s="40"/>
      <c r="AF8" s="40">
        <v>0</v>
      </c>
      <c r="AG8" s="19">
        <v>0</v>
      </c>
      <c r="AH8" s="21">
        <v>0</v>
      </c>
      <c r="AI8" s="21">
        <v>0</v>
      </c>
      <c r="AJ8" s="21">
        <v>1.2</v>
      </c>
      <c r="AK8" s="21">
        <v>0</v>
      </c>
      <c r="AL8" s="24">
        <v>1.2</v>
      </c>
      <c r="AM8" s="12"/>
      <c r="AN8" s="12"/>
      <c r="AO8" s="12"/>
      <c r="AP8" s="12"/>
      <c r="AQ8" s="55">
        <f t="shared" si="2"/>
        <v>282.90000000000003</v>
      </c>
      <c r="AR8" s="21"/>
      <c r="AS8" s="12">
        <v>269</v>
      </c>
      <c r="AT8" s="26"/>
      <c r="AU8" s="49"/>
      <c r="AV8" s="136"/>
      <c r="AW8" s="137"/>
    </row>
    <row r="9" spans="1:49" s="4" customFormat="1" ht="19.399999999999999" customHeight="1">
      <c r="A9" s="18" t="s">
        <v>134</v>
      </c>
      <c r="B9" s="18" t="s">
        <v>952</v>
      </c>
      <c r="C9" s="19" t="s">
        <v>368</v>
      </c>
      <c r="D9" s="19" t="s">
        <v>710</v>
      </c>
      <c r="E9" s="19" t="s">
        <v>984</v>
      </c>
      <c r="F9" s="58">
        <v>8</v>
      </c>
      <c r="G9" s="43">
        <v>22</v>
      </c>
      <c r="H9" s="44">
        <v>57.9</v>
      </c>
      <c r="I9" s="44" t="s">
        <v>38</v>
      </c>
      <c r="J9" s="43">
        <v>120</v>
      </c>
      <c r="K9" s="44">
        <v>10.199999999999999</v>
      </c>
      <c r="L9" s="44" t="s">
        <v>122</v>
      </c>
      <c r="M9" s="43" t="s">
        <v>985</v>
      </c>
      <c r="N9" s="45">
        <v>2</v>
      </c>
      <c r="O9" s="45">
        <v>2</v>
      </c>
      <c r="P9" s="45">
        <v>1</v>
      </c>
      <c r="Q9" s="45">
        <v>1</v>
      </c>
      <c r="R9" s="46">
        <v>4</v>
      </c>
      <c r="S9" s="46">
        <v>4.25</v>
      </c>
      <c r="T9" s="46">
        <v>350</v>
      </c>
      <c r="U9" s="47">
        <v>3038</v>
      </c>
      <c r="V9" s="23">
        <v>24</v>
      </c>
      <c r="W9" s="38">
        <v>0</v>
      </c>
      <c r="X9" s="38">
        <v>0</v>
      </c>
      <c r="Y9" s="38">
        <v>24</v>
      </c>
      <c r="Z9" s="38">
        <v>0</v>
      </c>
      <c r="AA9" s="44">
        <v>0</v>
      </c>
      <c r="AB9" s="44">
        <v>0</v>
      </c>
      <c r="AC9" s="52" t="s">
        <v>113</v>
      </c>
      <c r="AD9" s="19">
        <v>214</v>
      </c>
      <c r="AE9" s="40"/>
      <c r="AF9" s="40">
        <v>0</v>
      </c>
      <c r="AG9" s="19">
        <v>0</v>
      </c>
      <c r="AH9" s="21">
        <v>0</v>
      </c>
      <c r="AI9" s="21">
        <v>0</v>
      </c>
      <c r="AJ9" s="21">
        <v>1.2</v>
      </c>
      <c r="AK9" s="21">
        <v>0</v>
      </c>
      <c r="AL9" s="24">
        <v>1.2</v>
      </c>
      <c r="AM9" s="12"/>
      <c r="AN9" s="12"/>
      <c r="AO9" s="12"/>
      <c r="AP9" s="12"/>
      <c r="AQ9" s="55">
        <f t="shared" si="2"/>
        <v>281.70000000000005</v>
      </c>
      <c r="AR9" s="21"/>
      <c r="AS9" s="12">
        <v>263</v>
      </c>
      <c r="AT9" s="26"/>
      <c r="AU9" s="49"/>
      <c r="AV9" s="136"/>
      <c r="AW9" s="137"/>
    </row>
    <row r="10" spans="1:49" s="4" customFormat="1" ht="19.399999999999999" customHeight="1">
      <c r="A10" s="18" t="s">
        <v>134</v>
      </c>
      <c r="B10" s="18" t="s">
        <v>952</v>
      </c>
      <c r="C10" s="19" t="s">
        <v>368</v>
      </c>
      <c r="D10" s="19" t="s">
        <v>710</v>
      </c>
      <c r="E10" s="19" t="s">
        <v>986</v>
      </c>
      <c r="F10" s="58">
        <v>8</v>
      </c>
      <c r="G10" s="43">
        <v>22</v>
      </c>
      <c r="H10" s="44">
        <v>57.9</v>
      </c>
      <c r="I10" s="44" t="s">
        <v>38</v>
      </c>
      <c r="J10" s="43">
        <v>120</v>
      </c>
      <c r="K10" s="44">
        <v>10.199999999999999</v>
      </c>
      <c r="L10" s="44" t="s">
        <v>122</v>
      </c>
      <c r="M10" s="43" t="s">
        <v>117</v>
      </c>
      <c r="N10" s="45">
        <v>2</v>
      </c>
      <c r="O10" s="45">
        <v>2</v>
      </c>
      <c r="P10" s="45">
        <v>1</v>
      </c>
      <c r="Q10" s="45">
        <v>1</v>
      </c>
      <c r="R10" s="46">
        <v>4</v>
      </c>
      <c r="S10" s="46">
        <v>4.25</v>
      </c>
      <c r="T10" s="46">
        <v>350</v>
      </c>
      <c r="U10" s="47">
        <v>3038</v>
      </c>
      <c r="V10" s="23">
        <v>24</v>
      </c>
      <c r="W10" s="38">
        <v>0</v>
      </c>
      <c r="X10" s="38">
        <v>0</v>
      </c>
      <c r="Y10" s="38">
        <v>24</v>
      </c>
      <c r="Z10" s="38">
        <v>0</v>
      </c>
      <c r="AA10" s="44">
        <v>0</v>
      </c>
      <c r="AB10" s="44">
        <v>0</v>
      </c>
      <c r="AC10" s="52" t="s">
        <v>113</v>
      </c>
      <c r="AD10" s="19">
        <v>233</v>
      </c>
      <c r="AE10" s="40"/>
      <c r="AF10" s="40">
        <v>0</v>
      </c>
      <c r="AG10" s="19">
        <v>0</v>
      </c>
      <c r="AH10" s="21">
        <v>0</v>
      </c>
      <c r="AI10" s="21">
        <v>0</v>
      </c>
      <c r="AJ10" s="21">
        <v>1.6</v>
      </c>
      <c r="AK10" s="21">
        <v>0</v>
      </c>
      <c r="AL10" s="24">
        <v>1.6</v>
      </c>
      <c r="AM10" s="12"/>
      <c r="AN10" s="12"/>
      <c r="AO10" s="12"/>
      <c r="AP10" s="12"/>
      <c r="AQ10" s="55">
        <f t="shared" si="2"/>
        <v>280.10000000000002</v>
      </c>
      <c r="AR10" s="21"/>
      <c r="AS10" s="12">
        <v>260</v>
      </c>
      <c r="AT10" s="26"/>
      <c r="AU10" s="49"/>
      <c r="AV10" s="136"/>
      <c r="AW10" s="137"/>
    </row>
    <row r="11" spans="1:49" s="4" customFormat="1" ht="19.399999999999999" customHeight="1">
      <c r="A11" s="18" t="s">
        <v>134</v>
      </c>
      <c r="B11" s="18" t="s">
        <v>952</v>
      </c>
      <c r="C11" s="19" t="s">
        <v>368</v>
      </c>
      <c r="D11" s="19" t="s">
        <v>710</v>
      </c>
      <c r="E11" s="19" t="s">
        <v>987</v>
      </c>
      <c r="F11" s="58">
        <v>8</v>
      </c>
      <c r="G11" s="43">
        <v>22</v>
      </c>
      <c r="H11" s="44">
        <v>57.9</v>
      </c>
      <c r="I11" s="44" t="s">
        <v>38</v>
      </c>
      <c r="J11" s="43">
        <v>120</v>
      </c>
      <c r="K11" s="44">
        <v>10.199999999999999</v>
      </c>
      <c r="L11" s="44" t="s">
        <v>122</v>
      </c>
      <c r="M11" s="43" t="s">
        <v>117</v>
      </c>
      <c r="N11" s="45">
        <v>2</v>
      </c>
      <c r="O11" s="45">
        <v>2</v>
      </c>
      <c r="P11" s="45">
        <v>1</v>
      </c>
      <c r="Q11" s="45">
        <v>1</v>
      </c>
      <c r="R11" s="46">
        <v>4</v>
      </c>
      <c r="S11" s="46">
        <v>4.25</v>
      </c>
      <c r="T11" s="46">
        <v>350</v>
      </c>
      <c r="U11" s="47">
        <v>3038</v>
      </c>
      <c r="V11" s="23">
        <v>24</v>
      </c>
      <c r="W11" s="38">
        <v>0</v>
      </c>
      <c r="X11" s="38">
        <v>0</v>
      </c>
      <c r="Y11" s="38">
        <v>24</v>
      </c>
      <c r="Z11" s="38">
        <v>0</v>
      </c>
      <c r="AA11" s="44">
        <v>0</v>
      </c>
      <c r="AB11" s="44">
        <v>0</v>
      </c>
      <c r="AC11" s="52" t="s">
        <v>119</v>
      </c>
      <c r="AD11" s="19">
        <v>233</v>
      </c>
      <c r="AE11" s="40"/>
      <c r="AF11" s="40">
        <v>0</v>
      </c>
      <c r="AG11" s="19">
        <v>0</v>
      </c>
      <c r="AH11" s="21">
        <v>0</v>
      </c>
      <c r="AI11" s="21">
        <v>0</v>
      </c>
      <c r="AJ11" s="21">
        <v>1.2</v>
      </c>
      <c r="AK11" s="21">
        <v>0</v>
      </c>
      <c r="AL11" s="24">
        <f>AH11+AI11+AJ11+AK11</f>
        <v>1.2</v>
      </c>
      <c r="AM11" s="12"/>
      <c r="AN11" s="12"/>
      <c r="AO11" s="12"/>
      <c r="AP11" s="12"/>
      <c r="AQ11" s="55">
        <f t="shared" si="2"/>
        <v>278.90000000000003</v>
      </c>
      <c r="AR11" s="21"/>
      <c r="AS11" s="12">
        <v>255</v>
      </c>
      <c r="AT11" s="26"/>
      <c r="AU11" s="49"/>
      <c r="AV11" s="136"/>
      <c r="AW11" s="137"/>
    </row>
    <row r="12" spans="1:49" s="4" customFormat="1" ht="19.399999999999999" customHeight="1">
      <c r="A12" s="18" t="s">
        <v>134</v>
      </c>
      <c r="B12" s="18" t="s">
        <v>990</v>
      </c>
      <c r="C12" s="19" t="s">
        <v>710</v>
      </c>
      <c r="D12" s="19" t="s">
        <v>171</v>
      </c>
      <c r="E12" s="19" t="s">
        <v>991</v>
      </c>
      <c r="F12" s="58">
        <v>8</v>
      </c>
      <c r="G12" s="43">
        <v>22</v>
      </c>
      <c r="H12" s="44">
        <v>53.1</v>
      </c>
      <c r="I12" s="44" t="s">
        <v>38</v>
      </c>
      <c r="J12" s="43">
        <v>120</v>
      </c>
      <c r="K12" s="44">
        <v>4.7</v>
      </c>
      <c r="L12" s="44" t="s">
        <v>122</v>
      </c>
      <c r="M12" s="43" t="s">
        <v>117</v>
      </c>
      <c r="N12" s="45">
        <v>7</v>
      </c>
      <c r="O12" s="45">
        <v>3</v>
      </c>
      <c r="P12" s="45">
        <v>2</v>
      </c>
      <c r="Q12" s="45">
        <v>1</v>
      </c>
      <c r="R12" s="46">
        <v>3.98</v>
      </c>
      <c r="S12" s="46">
        <v>4.18</v>
      </c>
      <c r="T12" s="46">
        <v>304</v>
      </c>
      <c r="U12" s="47">
        <v>2973</v>
      </c>
      <c r="V12" s="23">
        <v>24</v>
      </c>
      <c r="W12" s="38">
        <v>0.4</v>
      </c>
      <c r="X12" s="38">
        <v>0.8</v>
      </c>
      <c r="Y12" s="38">
        <v>22.8</v>
      </c>
      <c r="Z12" s="38">
        <v>0</v>
      </c>
      <c r="AA12" s="44">
        <v>8.1999999999999993</v>
      </c>
      <c r="AB12" s="44">
        <f t="shared" ref="AB12:AB17" si="3">AA12/24</f>
        <v>0.34166666666666662</v>
      </c>
      <c r="AC12" s="52" t="s">
        <v>126</v>
      </c>
      <c r="AD12" s="19" t="s">
        <v>988</v>
      </c>
      <c r="AE12" s="40"/>
      <c r="AF12" s="40" t="s">
        <v>148</v>
      </c>
      <c r="AG12" s="19" t="s">
        <v>989</v>
      </c>
      <c r="AH12" s="21">
        <v>0.2</v>
      </c>
      <c r="AI12" s="21">
        <v>0.1</v>
      </c>
      <c r="AJ12" s="21">
        <v>4.3</v>
      </c>
      <c r="AK12" s="21">
        <v>0</v>
      </c>
      <c r="AL12" s="24">
        <v>4.5999999999999996</v>
      </c>
      <c r="AM12" s="12"/>
      <c r="AN12" s="12"/>
      <c r="AO12" s="12"/>
      <c r="AP12" s="12"/>
      <c r="AQ12" s="55">
        <f t="shared" si="2"/>
        <v>274.3</v>
      </c>
      <c r="AR12" s="21"/>
      <c r="AS12" s="12">
        <v>251</v>
      </c>
      <c r="AT12" s="26"/>
      <c r="AU12" s="49"/>
      <c r="AV12" s="136"/>
      <c r="AW12" s="137"/>
    </row>
    <row r="13" spans="1:49" s="4" customFormat="1" ht="19.399999999999999" customHeight="1">
      <c r="A13" s="18" t="s">
        <v>134</v>
      </c>
      <c r="B13" s="18" t="s">
        <v>990</v>
      </c>
      <c r="C13" s="19" t="s">
        <v>710</v>
      </c>
      <c r="D13" s="19" t="s">
        <v>171</v>
      </c>
      <c r="E13" s="19" t="s">
        <v>995</v>
      </c>
      <c r="F13" s="58">
        <v>8</v>
      </c>
      <c r="G13" s="43">
        <v>23</v>
      </c>
      <c r="H13" s="44">
        <v>10.3</v>
      </c>
      <c r="I13" s="44" t="s">
        <v>38</v>
      </c>
      <c r="J13" s="43">
        <v>121</v>
      </c>
      <c r="K13" s="44">
        <v>28.4</v>
      </c>
      <c r="L13" s="44" t="s">
        <v>122</v>
      </c>
      <c r="M13" s="43" t="s">
        <v>117</v>
      </c>
      <c r="N13" s="45">
        <v>7</v>
      </c>
      <c r="O13" s="45">
        <v>4</v>
      </c>
      <c r="P13" s="45">
        <v>3</v>
      </c>
      <c r="Q13" s="45">
        <v>2</v>
      </c>
      <c r="R13" s="46">
        <v>3.98</v>
      </c>
      <c r="S13" s="46">
        <v>4.18</v>
      </c>
      <c r="T13" s="46">
        <v>304</v>
      </c>
      <c r="U13" s="47">
        <v>2973</v>
      </c>
      <c r="V13" s="23">
        <v>24</v>
      </c>
      <c r="W13" s="38">
        <v>18.3</v>
      </c>
      <c r="X13" s="38">
        <v>5.7</v>
      </c>
      <c r="Y13" s="38">
        <v>0</v>
      </c>
      <c r="Z13" s="38">
        <v>0</v>
      </c>
      <c r="AA13" s="44">
        <v>176.2</v>
      </c>
      <c r="AB13" s="44">
        <f t="shared" si="3"/>
        <v>7.3416666666666659</v>
      </c>
      <c r="AC13" s="52" t="s">
        <v>126</v>
      </c>
      <c r="AD13" s="19" t="s">
        <v>992</v>
      </c>
      <c r="AE13" s="40"/>
      <c r="AF13" s="40" t="s">
        <v>993</v>
      </c>
      <c r="AG13" s="19" t="s">
        <v>994</v>
      </c>
      <c r="AH13" s="21">
        <v>5</v>
      </c>
      <c r="AI13" s="21">
        <v>1.5</v>
      </c>
      <c r="AJ13" s="21">
        <v>0</v>
      </c>
      <c r="AK13" s="21">
        <v>0</v>
      </c>
      <c r="AL13" s="24">
        <v>6.5</v>
      </c>
      <c r="AM13" s="12"/>
      <c r="AN13" s="12"/>
      <c r="AO13" s="12"/>
      <c r="AP13" s="12"/>
      <c r="AQ13" s="55">
        <f t="shared" si="2"/>
        <v>267.8</v>
      </c>
      <c r="AR13" s="21"/>
      <c r="AS13" s="12">
        <v>244</v>
      </c>
      <c r="AT13" s="26"/>
      <c r="AU13" s="49"/>
      <c r="AV13" s="136"/>
      <c r="AW13" s="137"/>
    </row>
    <row r="14" spans="1:49" s="4" customFormat="1" ht="19.399999999999999" customHeight="1">
      <c r="A14" s="18" t="s">
        <v>134</v>
      </c>
      <c r="B14" s="18" t="s">
        <v>990</v>
      </c>
      <c r="C14" s="19" t="s">
        <v>710</v>
      </c>
      <c r="D14" s="19" t="s">
        <v>171</v>
      </c>
      <c r="E14" s="19" t="s">
        <v>999</v>
      </c>
      <c r="F14" s="58">
        <v>8</v>
      </c>
      <c r="G14" s="43">
        <v>23</v>
      </c>
      <c r="H14" s="44">
        <v>9.9</v>
      </c>
      <c r="I14" s="44" t="s">
        <v>38</v>
      </c>
      <c r="J14" s="43">
        <v>121</v>
      </c>
      <c r="K14" s="44">
        <v>57.6</v>
      </c>
      <c r="L14" s="44" t="s">
        <v>122</v>
      </c>
      <c r="M14" s="43" t="s">
        <v>115</v>
      </c>
      <c r="N14" s="45">
        <v>14</v>
      </c>
      <c r="O14" s="45">
        <v>3</v>
      </c>
      <c r="P14" s="45">
        <v>2</v>
      </c>
      <c r="Q14" s="45">
        <v>1</v>
      </c>
      <c r="R14" s="46">
        <v>3.98</v>
      </c>
      <c r="S14" s="46">
        <v>4.18</v>
      </c>
      <c r="T14" s="46">
        <v>304</v>
      </c>
      <c r="U14" s="47">
        <v>2973</v>
      </c>
      <c r="V14" s="23">
        <v>24</v>
      </c>
      <c r="W14" s="38">
        <v>0</v>
      </c>
      <c r="X14" s="38">
        <v>24</v>
      </c>
      <c r="Y14" s="38">
        <v>0</v>
      </c>
      <c r="Z14" s="38">
        <v>0</v>
      </c>
      <c r="AA14" s="44">
        <v>34.5</v>
      </c>
      <c r="AB14" s="44">
        <f t="shared" si="3"/>
        <v>1.4375</v>
      </c>
      <c r="AC14" s="52" t="s">
        <v>126</v>
      </c>
      <c r="AD14" s="19" t="s">
        <v>996</v>
      </c>
      <c r="AE14" s="40"/>
      <c r="AF14" s="40" t="s">
        <v>997</v>
      </c>
      <c r="AG14" s="19" t="s">
        <v>998</v>
      </c>
      <c r="AH14" s="21">
        <v>0</v>
      </c>
      <c r="AI14" s="21">
        <v>5.5</v>
      </c>
      <c r="AJ14" s="21">
        <v>0</v>
      </c>
      <c r="AK14" s="21">
        <v>0</v>
      </c>
      <c r="AL14" s="24">
        <v>5.5</v>
      </c>
      <c r="AM14" s="12"/>
      <c r="AN14" s="12"/>
      <c r="AO14" s="12"/>
      <c r="AP14" s="12"/>
      <c r="AQ14" s="55">
        <f t="shared" si="2"/>
        <v>262.3</v>
      </c>
      <c r="AR14" s="21"/>
      <c r="AS14" s="12">
        <v>232</v>
      </c>
      <c r="AT14" s="26"/>
      <c r="AU14" s="49"/>
      <c r="AV14" s="136"/>
      <c r="AW14" s="137"/>
    </row>
    <row r="15" spans="1:49" s="4" customFormat="1" ht="19.399999999999999" customHeight="1">
      <c r="A15" s="18" t="s">
        <v>134</v>
      </c>
      <c r="B15" s="18" t="s">
        <v>990</v>
      </c>
      <c r="C15" s="19" t="s">
        <v>710</v>
      </c>
      <c r="D15" s="19" t="s">
        <v>171</v>
      </c>
      <c r="E15" s="19" t="s">
        <v>1002</v>
      </c>
      <c r="F15" s="58">
        <v>8</v>
      </c>
      <c r="G15" s="43">
        <v>23</v>
      </c>
      <c r="H15" s="44">
        <v>23.4</v>
      </c>
      <c r="I15" s="44" t="s">
        <v>38</v>
      </c>
      <c r="J15" s="43">
        <v>122</v>
      </c>
      <c r="K15" s="44">
        <v>0.1</v>
      </c>
      <c r="L15" s="44" t="s">
        <v>122</v>
      </c>
      <c r="M15" s="43" t="s">
        <v>115</v>
      </c>
      <c r="N15" s="45">
        <v>14</v>
      </c>
      <c r="O15" s="45">
        <v>3</v>
      </c>
      <c r="P15" s="45">
        <v>2</v>
      </c>
      <c r="Q15" s="45">
        <v>1</v>
      </c>
      <c r="R15" s="46">
        <v>3.98</v>
      </c>
      <c r="S15" s="46">
        <v>4.18</v>
      </c>
      <c r="T15" s="46">
        <v>304</v>
      </c>
      <c r="U15" s="47">
        <v>2973</v>
      </c>
      <c r="V15" s="23">
        <v>24</v>
      </c>
      <c r="W15" s="38">
        <v>0</v>
      </c>
      <c r="X15" s="38">
        <v>24</v>
      </c>
      <c r="Y15" s="38">
        <v>0</v>
      </c>
      <c r="Z15" s="38">
        <v>0</v>
      </c>
      <c r="AA15" s="44">
        <v>14.5</v>
      </c>
      <c r="AB15" s="44">
        <f t="shared" si="3"/>
        <v>0.60416666666666663</v>
      </c>
      <c r="AC15" s="52" t="s">
        <v>126</v>
      </c>
      <c r="AD15" s="19" t="s">
        <v>1000</v>
      </c>
      <c r="AE15" s="48"/>
      <c r="AF15" s="19" t="s">
        <v>1001</v>
      </c>
      <c r="AG15" s="19" t="s">
        <v>520</v>
      </c>
      <c r="AH15" s="21">
        <v>0</v>
      </c>
      <c r="AI15" s="21">
        <v>5</v>
      </c>
      <c r="AJ15" s="21">
        <v>0</v>
      </c>
      <c r="AK15" s="21">
        <v>0</v>
      </c>
      <c r="AL15" s="24">
        <v>5</v>
      </c>
      <c r="AM15" s="12"/>
      <c r="AN15" s="12"/>
      <c r="AO15" s="12"/>
      <c r="AP15" s="12"/>
      <c r="AQ15" s="55">
        <f t="shared" si="2"/>
        <v>257.3</v>
      </c>
      <c r="AR15" s="21"/>
      <c r="AS15" s="12">
        <v>225</v>
      </c>
      <c r="AT15" s="26"/>
      <c r="AU15" s="49"/>
      <c r="AV15" s="136"/>
      <c r="AW15" s="137"/>
    </row>
    <row r="16" spans="1:49" s="4" customFormat="1" ht="19.399999999999999" customHeight="1">
      <c r="A16" s="18" t="s">
        <v>134</v>
      </c>
      <c r="B16" s="18" t="s">
        <v>990</v>
      </c>
      <c r="C16" s="19" t="s">
        <v>710</v>
      </c>
      <c r="D16" s="19" t="s">
        <v>171</v>
      </c>
      <c r="E16" s="19" t="s">
        <v>1005</v>
      </c>
      <c r="F16" s="58">
        <v>8</v>
      </c>
      <c r="G16" s="43">
        <v>21</v>
      </c>
      <c r="H16" s="44">
        <v>56.3</v>
      </c>
      <c r="I16" s="44" t="s">
        <v>38</v>
      </c>
      <c r="J16" s="43">
        <v>121</v>
      </c>
      <c r="K16" s="44">
        <v>50.7</v>
      </c>
      <c r="L16" s="44" t="s">
        <v>122</v>
      </c>
      <c r="M16" s="43" t="s">
        <v>115</v>
      </c>
      <c r="N16" s="45">
        <v>10</v>
      </c>
      <c r="O16" s="45">
        <v>5</v>
      </c>
      <c r="P16" s="45">
        <v>3</v>
      </c>
      <c r="Q16" s="45">
        <v>1</v>
      </c>
      <c r="R16" s="46">
        <v>3.98</v>
      </c>
      <c r="S16" s="46">
        <v>4.18</v>
      </c>
      <c r="T16" s="46">
        <v>304</v>
      </c>
      <c r="U16" s="47">
        <v>2973</v>
      </c>
      <c r="V16" s="23">
        <v>24</v>
      </c>
      <c r="W16" s="38">
        <v>8.5</v>
      </c>
      <c r="X16" s="38">
        <v>15.5</v>
      </c>
      <c r="Y16" s="38">
        <v>0</v>
      </c>
      <c r="Z16" s="38">
        <v>0</v>
      </c>
      <c r="AA16" s="44">
        <v>117.9</v>
      </c>
      <c r="AB16" s="44">
        <f t="shared" si="3"/>
        <v>4.9125000000000005</v>
      </c>
      <c r="AC16" s="52" t="s">
        <v>126</v>
      </c>
      <c r="AD16" s="19" t="s">
        <v>1003</v>
      </c>
      <c r="AE16" s="48"/>
      <c r="AF16" s="40" t="s">
        <v>1004</v>
      </c>
      <c r="AG16" s="19" t="s">
        <v>156</v>
      </c>
      <c r="AH16" s="21">
        <v>2.5</v>
      </c>
      <c r="AI16" s="21">
        <v>4</v>
      </c>
      <c r="AJ16" s="21">
        <v>0</v>
      </c>
      <c r="AK16" s="21">
        <v>0</v>
      </c>
      <c r="AL16" s="24">
        <v>6.5</v>
      </c>
      <c r="AM16" s="12"/>
      <c r="AN16" s="12"/>
      <c r="AO16" s="12"/>
      <c r="AP16" s="12"/>
      <c r="AQ16" s="55">
        <f t="shared" si="2"/>
        <v>250.8</v>
      </c>
      <c r="AR16" s="21"/>
      <c r="AS16" s="55">
        <v>216</v>
      </c>
      <c r="AT16" s="26"/>
      <c r="AU16" s="49"/>
      <c r="AV16" s="136"/>
      <c r="AW16" s="137"/>
    </row>
    <row r="17" spans="1:50" s="4" customFormat="1" ht="19.399999999999999" customHeight="1">
      <c r="A17" s="18" t="s">
        <v>134</v>
      </c>
      <c r="B17" s="18" t="s">
        <v>990</v>
      </c>
      <c r="C17" s="19" t="s">
        <v>710</v>
      </c>
      <c r="D17" s="19" t="s">
        <v>171</v>
      </c>
      <c r="E17" s="19" t="s">
        <v>1008</v>
      </c>
      <c r="F17" s="58">
        <v>8</v>
      </c>
      <c r="G17" s="43">
        <v>21</v>
      </c>
      <c r="H17" s="44">
        <v>51.7</v>
      </c>
      <c r="I17" s="44" t="s">
        <v>38</v>
      </c>
      <c r="J17" s="43">
        <v>122</v>
      </c>
      <c r="K17" s="44">
        <v>9.3000000000000007</v>
      </c>
      <c r="L17" s="44" t="s">
        <v>122</v>
      </c>
      <c r="M17" s="43" t="s">
        <v>115</v>
      </c>
      <c r="N17" s="45">
        <v>10</v>
      </c>
      <c r="O17" s="45">
        <v>5</v>
      </c>
      <c r="P17" s="45">
        <v>3</v>
      </c>
      <c r="Q17" s="45">
        <v>1</v>
      </c>
      <c r="R17" s="46">
        <v>3.98</v>
      </c>
      <c r="S17" s="46">
        <v>4.18</v>
      </c>
      <c r="T17" s="46">
        <v>304</v>
      </c>
      <c r="U17" s="47">
        <v>2973</v>
      </c>
      <c r="V17" s="23">
        <v>24</v>
      </c>
      <c r="W17" s="38">
        <v>0</v>
      </c>
      <c r="X17" s="38">
        <v>24</v>
      </c>
      <c r="Y17" s="38">
        <v>0</v>
      </c>
      <c r="Z17" s="38">
        <v>0</v>
      </c>
      <c r="AA17" s="44">
        <v>21.1</v>
      </c>
      <c r="AB17" s="44">
        <f t="shared" si="3"/>
        <v>0.87916666666666676</v>
      </c>
      <c r="AC17" s="52" t="s">
        <v>125</v>
      </c>
      <c r="AD17" s="19" t="s">
        <v>1006</v>
      </c>
      <c r="AE17" s="48"/>
      <c r="AF17" s="40" t="s">
        <v>1007</v>
      </c>
      <c r="AG17" s="19" t="s">
        <v>143</v>
      </c>
      <c r="AH17" s="21">
        <v>0</v>
      </c>
      <c r="AI17" s="21">
        <v>4.5</v>
      </c>
      <c r="AJ17" s="21">
        <v>0</v>
      </c>
      <c r="AK17" s="21">
        <v>0</v>
      </c>
      <c r="AL17" s="24">
        <v>4.5</v>
      </c>
      <c r="AM17" s="12"/>
      <c r="AN17" s="12"/>
      <c r="AO17" s="12"/>
      <c r="AP17" s="12"/>
      <c r="AQ17" s="55">
        <f t="shared" si="2"/>
        <v>246.3</v>
      </c>
      <c r="AR17" s="21"/>
      <c r="AS17" s="12">
        <v>207</v>
      </c>
      <c r="AT17" s="26"/>
      <c r="AU17" s="49"/>
      <c r="AV17" s="136"/>
      <c r="AW17" s="137"/>
    </row>
    <row r="18" spans="1:50" s="4" customFormat="1" ht="19.399999999999999" customHeight="1">
      <c r="A18" s="18" t="s">
        <v>134</v>
      </c>
      <c r="B18" s="18" t="s">
        <v>990</v>
      </c>
      <c r="C18" s="19" t="s">
        <v>710</v>
      </c>
      <c r="D18" s="19" t="s">
        <v>171</v>
      </c>
      <c r="E18" s="19" t="s">
        <v>1011</v>
      </c>
      <c r="F18" s="58">
        <v>8</v>
      </c>
      <c r="G18" s="43">
        <v>22</v>
      </c>
      <c r="H18" s="44">
        <v>5.4</v>
      </c>
      <c r="I18" s="44" t="s">
        <v>38</v>
      </c>
      <c r="J18" s="43">
        <v>121</v>
      </c>
      <c r="K18" s="44">
        <v>28.5</v>
      </c>
      <c r="L18" s="44" t="s">
        <v>122</v>
      </c>
      <c r="M18" s="43" t="s">
        <v>115</v>
      </c>
      <c r="N18" s="45">
        <v>10</v>
      </c>
      <c r="O18" s="45">
        <v>5</v>
      </c>
      <c r="P18" s="45">
        <v>3</v>
      </c>
      <c r="Q18" s="45">
        <v>1</v>
      </c>
      <c r="R18" s="46">
        <v>3.98</v>
      </c>
      <c r="S18" s="46">
        <v>4.18</v>
      </c>
      <c r="T18" s="46">
        <v>304</v>
      </c>
      <c r="U18" s="47">
        <v>2973</v>
      </c>
      <c r="V18" s="23">
        <v>24</v>
      </c>
      <c r="W18" s="38">
        <v>4.3</v>
      </c>
      <c r="X18" s="38">
        <v>19.7</v>
      </c>
      <c r="Y18" s="38">
        <v>0</v>
      </c>
      <c r="Z18" s="38">
        <v>0</v>
      </c>
      <c r="AA18" s="44">
        <v>46</v>
      </c>
      <c r="AB18" s="44">
        <f t="shared" ref="AB18" si="4">AA18/24</f>
        <v>1.9166666666666667</v>
      </c>
      <c r="AC18" s="52" t="s">
        <v>125</v>
      </c>
      <c r="AD18" s="19" t="s">
        <v>1009</v>
      </c>
      <c r="AE18" s="48"/>
      <c r="AF18" s="40" t="s">
        <v>1010</v>
      </c>
      <c r="AG18" s="19" t="s">
        <v>915</v>
      </c>
      <c r="AH18" s="21">
        <v>1.9</v>
      </c>
      <c r="AI18" s="21">
        <v>3</v>
      </c>
      <c r="AJ18" s="21">
        <v>0</v>
      </c>
      <c r="AK18" s="21">
        <v>0</v>
      </c>
      <c r="AL18" s="24">
        <v>4.9000000000000004</v>
      </c>
      <c r="AM18" s="12"/>
      <c r="AN18" s="12"/>
      <c r="AO18" s="12"/>
      <c r="AP18" s="12"/>
      <c r="AQ18" s="55">
        <f t="shared" si="2"/>
        <v>241.4</v>
      </c>
      <c r="AR18" s="21"/>
      <c r="AS18" s="12">
        <v>198</v>
      </c>
      <c r="AT18" s="26"/>
      <c r="AU18" s="49"/>
      <c r="AV18" s="136"/>
      <c r="AW18" s="137"/>
    </row>
    <row r="19" spans="1:50" s="4" customFormat="1" ht="19.399999999999999" customHeight="1">
      <c r="A19" s="18" t="s">
        <v>134</v>
      </c>
      <c r="B19" s="18" t="s">
        <v>990</v>
      </c>
      <c r="C19" s="19" t="s">
        <v>710</v>
      </c>
      <c r="D19" s="19" t="s">
        <v>171</v>
      </c>
      <c r="E19" s="19" t="s">
        <v>1015</v>
      </c>
      <c r="F19" s="58">
        <v>8</v>
      </c>
      <c r="G19" s="43">
        <v>22</v>
      </c>
      <c r="H19" s="44">
        <v>15.2</v>
      </c>
      <c r="I19" s="44" t="s">
        <v>38</v>
      </c>
      <c r="J19" s="43">
        <v>121</v>
      </c>
      <c r="K19" s="44">
        <v>3</v>
      </c>
      <c r="L19" s="44" t="s">
        <v>122</v>
      </c>
      <c r="M19" s="43" t="s">
        <v>115</v>
      </c>
      <c r="N19" s="45">
        <v>10</v>
      </c>
      <c r="O19" s="45">
        <v>2</v>
      </c>
      <c r="P19" s="45">
        <v>1</v>
      </c>
      <c r="Q19" s="45">
        <v>1</v>
      </c>
      <c r="R19" s="46">
        <v>3.98</v>
      </c>
      <c r="S19" s="46">
        <v>4.18</v>
      </c>
      <c r="T19" s="46">
        <v>304</v>
      </c>
      <c r="U19" s="47">
        <v>2973</v>
      </c>
      <c r="V19" s="23">
        <v>24</v>
      </c>
      <c r="W19" s="38">
        <v>7</v>
      </c>
      <c r="X19" s="38">
        <v>17</v>
      </c>
      <c r="Y19" s="38">
        <v>0</v>
      </c>
      <c r="Z19" s="38">
        <v>0</v>
      </c>
      <c r="AA19" s="44">
        <v>69.5</v>
      </c>
      <c r="AB19" s="44">
        <f t="shared" ref="AB19" si="5">AA19/24</f>
        <v>2.8958333333333335</v>
      </c>
      <c r="AC19" s="52" t="s">
        <v>125</v>
      </c>
      <c r="AD19" s="19" t="s">
        <v>1012</v>
      </c>
      <c r="AE19" s="48"/>
      <c r="AF19" s="40" t="s">
        <v>1013</v>
      </c>
      <c r="AG19" s="19" t="s">
        <v>1014</v>
      </c>
      <c r="AH19" s="21">
        <v>2</v>
      </c>
      <c r="AI19" s="21">
        <v>3.5</v>
      </c>
      <c r="AJ19" s="21">
        <v>0</v>
      </c>
      <c r="AK19" s="21">
        <v>0</v>
      </c>
      <c r="AL19" s="24">
        <f t="shared" ref="AL19:AL75" si="6">AH19+AI19+AJ19+AK19</f>
        <v>5.5</v>
      </c>
      <c r="AM19" s="12"/>
      <c r="AN19" s="12"/>
      <c r="AO19" s="12"/>
      <c r="AP19" s="12"/>
      <c r="AQ19" s="55">
        <f t="shared" si="2"/>
        <v>235.9</v>
      </c>
      <c r="AR19" s="21"/>
      <c r="AS19" s="12">
        <v>189</v>
      </c>
      <c r="AT19" s="26"/>
      <c r="AU19" s="49"/>
      <c r="AV19" s="136"/>
      <c r="AW19" s="137"/>
    </row>
    <row r="20" spans="1:50" s="4" customFormat="1" ht="19.399999999999999" customHeight="1">
      <c r="A20" s="18" t="s">
        <v>134</v>
      </c>
      <c r="B20" s="18" t="s">
        <v>990</v>
      </c>
      <c r="C20" s="19" t="s">
        <v>710</v>
      </c>
      <c r="D20" s="19" t="s">
        <v>171</v>
      </c>
      <c r="E20" s="19" t="s">
        <v>1019</v>
      </c>
      <c r="F20" s="58">
        <v>8</v>
      </c>
      <c r="G20" s="43">
        <v>22</v>
      </c>
      <c r="H20" s="44">
        <v>25.8</v>
      </c>
      <c r="I20" s="44" t="s">
        <v>38</v>
      </c>
      <c r="J20" s="43">
        <v>121</v>
      </c>
      <c r="K20" s="44">
        <v>7.8</v>
      </c>
      <c r="L20" s="44" t="s">
        <v>122</v>
      </c>
      <c r="M20" s="43" t="s">
        <v>115</v>
      </c>
      <c r="N20" s="45">
        <v>10</v>
      </c>
      <c r="O20" s="45">
        <v>2</v>
      </c>
      <c r="P20" s="45">
        <v>1</v>
      </c>
      <c r="Q20" s="45">
        <v>1</v>
      </c>
      <c r="R20" s="46">
        <v>3.98</v>
      </c>
      <c r="S20" s="46">
        <v>4.18</v>
      </c>
      <c r="T20" s="46">
        <v>304</v>
      </c>
      <c r="U20" s="47">
        <v>2973</v>
      </c>
      <c r="V20" s="23">
        <v>24</v>
      </c>
      <c r="W20" s="38">
        <v>0</v>
      </c>
      <c r="X20" s="38">
        <v>24</v>
      </c>
      <c r="Y20" s="38">
        <v>0</v>
      </c>
      <c r="Z20" s="38">
        <v>0</v>
      </c>
      <c r="AA20" s="44">
        <v>12.3</v>
      </c>
      <c r="AB20" s="44">
        <f t="shared" ref="AB20" si="7">AA20/24</f>
        <v>0.51250000000000007</v>
      </c>
      <c r="AC20" s="52" t="s">
        <v>125</v>
      </c>
      <c r="AD20" s="19" t="s">
        <v>1016</v>
      </c>
      <c r="AE20" s="48"/>
      <c r="AF20" s="40" t="s">
        <v>1017</v>
      </c>
      <c r="AG20" s="19" t="s">
        <v>1018</v>
      </c>
      <c r="AH20" s="21">
        <v>0</v>
      </c>
      <c r="AI20" s="21">
        <v>5</v>
      </c>
      <c r="AJ20" s="21">
        <v>0</v>
      </c>
      <c r="AK20" s="21">
        <v>0</v>
      </c>
      <c r="AL20" s="24">
        <f t="shared" si="6"/>
        <v>5</v>
      </c>
      <c r="AM20" s="12"/>
      <c r="AN20" s="12"/>
      <c r="AO20" s="12"/>
      <c r="AP20" s="12"/>
      <c r="AQ20" s="55">
        <f t="shared" si="2"/>
        <v>230.9</v>
      </c>
      <c r="AR20" s="21"/>
      <c r="AS20" s="12">
        <v>184</v>
      </c>
      <c r="AT20" s="26"/>
      <c r="AU20" s="49"/>
      <c r="AV20" s="136"/>
      <c r="AW20" s="137"/>
    </row>
    <row r="21" spans="1:50" s="4" customFormat="1" ht="19.399999999999999" customHeight="1">
      <c r="A21" s="18" t="s">
        <v>134</v>
      </c>
      <c r="B21" s="18" t="s">
        <v>990</v>
      </c>
      <c r="C21" s="19" t="s">
        <v>710</v>
      </c>
      <c r="D21" s="19" t="s">
        <v>171</v>
      </c>
      <c r="E21" s="19" t="s">
        <v>1022</v>
      </c>
      <c r="F21" s="58">
        <v>8</v>
      </c>
      <c r="G21" s="43">
        <v>22</v>
      </c>
      <c r="H21" s="44">
        <v>26.8</v>
      </c>
      <c r="I21" s="44" t="s">
        <v>38</v>
      </c>
      <c r="J21" s="43">
        <v>120</v>
      </c>
      <c r="K21" s="44">
        <v>24.6</v>
      </c>
      <c r="L21" s="44" t="s">
        <v>122</v>
      </c>
      <c r="M21" s="43" t="s">
        <v>115</v>
      </c>
      <c r="N21" s="45">
        <v>14</v>
      </c>
      <c r="O21" s="45">
        <v>2</v>
      </c>
      <c r="P21" s="45">
        <v>1</v>
      </c>
      <c r="Q21" s="45">
        <v>1</v>
      </c>
      <c r="R21" s="46">
        <v>3.98</v>
      </c>
      <c r="S21" s="46">
        <v>4.18</v>
      </c>
      <c r="T21" s="46">
        <v>304</v>
      </c>
      <c r="U21" s="47">
        <v>2973</v>
      </c>
      <c r="V21" s="23">
        <v>24</v>
      </c>
      <c r="W21" s="38">
        <v>12</v>
      </c>
      <c r="X21" s="38">
        <v>12</v>
      </c>
      <c r="Y21" s="38">
        <v>0</v>
      </c>
      <c r="Z21" s="38">
        <v>0</v>
      </c>
      <c r="AA21" s="44">
        <v>104.4</v>
      </c>
      <c r="AB21" s="44">
        <f t="shared" ref="AB21" si="8">AA21/24</f>
        <v>4.3500000000000005</v>
      </c>
      <c r="AC21" s="52" t="s">
        <v>125</v>
      </c>
      <c r="AD21" s="19" t="s">
        <v>1020</v>
      </c>
      <c r="AE21" s="48"/>
      <c r="AF21" s="40" t="s">
        <v>1021</v>
      </c>
      <c r="AG21" s="40" t="s">
        <v>520</v>
      </c>
      <c r="AH21" s="21">
        <v>3.5</v>
      </c>
      <c r="AI21" s="21">
        <v>2</v>
      </c>
      <c r="AJ21" s="21">
        <v>0</v>
      </c>
      <c r="AK21" s="21">
        <v>0</v>
      </c>
      <c r="AL21" s="24">
        <f t="shared" si="6"/>
        <v>5.5</v>
      </c>
      <c r="AM21" s="12"/>
      <c r="AN21" s="12"/>
      <c r="AO21" s="12"/>
      <c r="AP21" s="12"/>
      <c r="AQ21" s="55">
        <f t="shared" si="2"/>
        <v>225.4</v>
      </c>
      <c r="AR21" s="21"/>
      <c r="AS21" s="12">
        <v>173</v>
      </c>
      <c r="AT21" s="26"/>
      <c r="AU21" s="49"/>
      <c r="AV21" s="136"/>
      <c r="AW21" s="137"/>
    </row>
    <row r="22" spans="1:50" s="4" customFormat="1" ht="19.399999999999999" customHeight="1">
      <c r="A22" s="18" t="s">
        <v>134</v>
      </c>
      <c r="B22" s="18" t="s">
        <v>990</v>
      </c>
      <c r="C22" s="19" t="s">
        <v>710</v>
      </c>
      <c r="D22" s="19" t="s">
        <v>171</v>
      </c>
      <c r="E22" s="19" t="s">
        <v>1025</v>
      </c>
      <c r="F22" s="58">
        <v>8</v>
      </c>
      <c r="G22" s="43">
        <v>21</v>
      </c>
      <c r="H22" s="44">
        <v>58</v>
      </c>
      <c r="I22" s="44" t="s">
        <v>38</v>
      </c>
      <c r="J22" s="43">
        <v>119</v>
      </c>
      <c r="K22" s="44">
        <v>53.3</v>
      </c>
      <c r="L22" s="44" t="s">
        <v>122</v>
      </c>
      <c r="M22" s="43" t="s">
        <v>115</v>
      </c>
      <c r="N22" s="45">
        <v>14</v>
      </c>
      <c r="O22" s="45">
        <v>2</v>
      </c>
      <c r="P22" s="45">
        <v>1</v>
      </c>
      <c r="Q22" s="45">
        <v>1</v>
      </c>
      <c r="R22" s="46">
        <v>3.98</v>
      </c>
      <c r="S22" s="46">
        <v>4.18</v>
      </c>
      <c r="T22" s="46">
        <v>304</v>
      </c>
      <c r="U22" s="47">
        <v>2973</v>
      </c>
      <c r="V22" s="23">
        <v>24</v>
      </c>
      <c r="W22" s="38">
        <v>6</v>
      </c>
      <c r="X22" s="38">
        <v>18</v>
      </c>
      <c r="Y22" s="38">
        <v>0</v>
      </c>
      <c r="Z22" s="38">
        <v>0</v>
      </c>
      <c r="AA22" s="44">
        <v>60.4</v>
      </c>
      <c r="AB22" s="44">
        <f t="shared" ref="AB22" si="9">AA22/24</f>
        <v>2.5166666666666666</v>
      </c>
      <c r="AC22" s="52" t="s">
        <v>125</v>
      </c>
      <c r="AD22" s="19" t="s">
        <v>1023</v>
      </c>
      <c r="AE22" s="48"/>
      <c r="AF22" s="40" t="s">
        <v>149</v>
      </c>
      <c r="AG22" s="19" t="s">
        <v>1024</v>
      </c>
      <c r="AH22" s="21">
        <v>1.3</v>
      </c>
      <c r="AI22" s="21">
        <v>3.7</v>
      </c>
      <c r="AJ22" s="21">
        <v>0</v>
      </c>
      <c r="AK22" s="21">
        <v>0</v>
      </c>
      <c r="AL22" s="24">
        <f t="shared" si="6"/>
        <v>5</v>
      </c>
      <c r="AM22" s="12"/>
      <c r="AN22" s="12"/>
      <c r="AO22" s="12"/>
      <c r="AP22" s="12"/>
      <c r="AQ22" s="55">
        <f t="shared" si="2"/>
        <v>220.4</v>
      </c>
      <c r="AR22" s="21"/>
      <c r="AS22" s="12">
        <v>164</v>
      </c>
      <c r="AT22" s="26"/>
      <c r="AU22" s="49"/>
      <c r="AV22" s="136"/>
      <c r="AW22" s="137"/>
    </row>
    <row r="23" spans="1:50" s="4" customFormat="1" ht="19.399999999999999" customHeight="1">
      <c r="A23" s="18" t="s">
        <v>134</v>
      </c>
      <c r="B23" s="18" t="s">
        <v>990</v>
      </c>
      <c r="C23" s="19" t="s">
        <v>710</v>
      </c>
      <c r="D23" s="19" t="s">
        <v>171</v>
      </c>
      <c r="E23" s="19" t="s">
        <v>1028</v>
      </c>
      <c r="F23" s="58">
        <v>8</v>
      </c>
      <c r="G23" s="43">
        <v>22</v>
      </c>
      <c r="H23" s="44">
        <v>1.7</v>
      </c>
      <c r="I23" s="44" t="s">
        <v>38</v>
      </c>
      <c r="J23" s="43">
        <v>119</v>
      </c>
      <c r="K23" s="44">
        <v>53.2</v>
      </c>
      <c r="L23" s="44" t="s">
        <v>122</v>
      </c>
      <c r="M23" s="43" t="s">
        <v>115</v>
      </c>
      <c r="N23" s="45">
        <v>0</v>
      </c>
      <c r="O23" s="45">
        <v>3</v>
      </c>
      <c r="P23" s="45">
        <v>2</v>
      </c>
      <c r="Q23" s="45">
        <v>1</v>
      </c>
      <c r="R23" s="46">
        <v>3.98</v>
      </c>
      <c r="S23" s="46">
        <v>4.18</v>
      </c>
      <c r="T23" s="46">
        <v>304</v>
      </c>
      <c r="U23" s="47">
        <v>2973</v>
      </c>
      <c r="V23" s="23">
        <v>24</v>
      </c>
      <c r="W23" s="38">
        <v>0</v>
      </c>
      <c r="X23" s="38">
        <v>24</v>
      </c>
      <c r="Y23" s="38">
        <v>0</v>
      </c>
      <c r="Z23" s="38">
        <v>0</v>
      </c>
      <c r="AA23" s="44">
        <v>27.1</v>
      </c>
      <c r="AB23" s="44">
        <f t="shared" ref="AB23" si="10">AA23/24</f>
        <v>1.1291666666666667</v>
      </c>
      <c r="AC23" s="52" t="s">
        <v>125</v>
      </c>
      <c r="AD23" s="19" t="s">
        <v>1026</v>
      </c>
      <c r="AE23" s="48"/>
      <c r="AF23" s="40" t="s">
        <v>1027</v>
      </c>
      <c r="AG23" s="19" t="s">
        <v>151</v>
      </c>
      <c r="AH23" s="21">
        <v>0</v>
      </c>
      <c r="AI23" s="21">
        <v>4.5</v>
      </c>
      <c r="AJ23" s="21">
        <v>0</v>
      </c>
      <c r="AK23" s="21">
        <v>0</v>
      </c>
      <c r="AL23" s="24">
        <f t="shared" si="6"/>
        <v>4.5</v>
      </c>
      <c r="AM23" s="12"/>
      <c r="AN23" s="12"/>
      <c r="AO23" s="12"/>
      <c r="AP23" s="12"/>
      <c r="AQ23" s="55">
        <f t="shared" si="2"/>
        <v>215.9</v>
      </c>
      <c r="AR23" s="21"/>
      <c r="AS23" s="12">
        <v>153</v>
      </c>
      <c r="AT23" s="26"/>
      <c r="AU23" s="49"/>
      <c r="AV23" s="136"/>
      <c r="AW23" s="137"/>
    </row>
    <row r="24" spans="1:50" s="4" customFormat="1" ht="19.399999999999999" customHeight="1">
      <c r="A24" s="18" t="s">
        <v>134</v>
      </c>
      <c r="B24" s="18" t="s">
        <v>990</v>
      </c>
      <c r="C24" s="19" t="s">
        <v>710</v>
      </c>
      <c r="D24" s="19" t="s">
        <v>171</v>
      </c>
      <c r="E24" s="19" t="s">
        <v>1030</v>
      </c>
      <c r="F24" s="58">
        <v>8</v>
      </c>
      <c r="G24" s="43">
        <v>23</v>
      </c>
      <c r="H24" s="44">
        <v>8.9</v>
      </c>
      <c r="I24" s="44" t="s">
        <v>38</v>
      </c>
      <c r="J24" s="43">
        <v>119</v>
      </c>
      <c r="K24" s="44">
        <v>44</v>
      </c>
      <c r="L24" s="44" t="s">
        <v>122</v>
      </c>
      <c r="M24" s="43" t="s">
        <v>115</v>
      </c>
      <c r="N24" s="45">
        <v>12</v>
      </c>
      <c r="O24" s="45">
        <v>3</v>
      </c>
      <c r="P24" s="45">
        <v>2</v>
      </c>
      <c r="Q24" s="45">
        <v>1</v>
      </c>
      <c r="R24" s="46">
        <v>3.98</v>
      </c>
      <c r="S24" s="46">
        <v>4.18</v>
      </c>
      <c r="T24" s="46">
        <v>304</v>
      </c>
      <c r="U24" s="47">
        <v>2973</v>
      </c>
      <c r="V24" s="23">
        <v>24</v>
      </c>
      <c r="W24" s="38">
        <v>10</v>
      </c>
      <c r="X24" s="38">
        <v>14</v>
      </c>
      <c r="Y24" s="38">
        <v>0</v>
      </c>
      <c r="Z24" s="38">
        <v>0</v>
      </c>
      <c r="AA24" s="44">
        <v>108.8</v>
      </c>
      <c r="AB24" s="44">
        <f t="shared" ref="AB24" si="11">AA24/24</f>
        <v>4.5333333333333332</v>
      </c>
      <c r="AC24" s="52" t="s">
        <v>125</v>
      </c>
      <c r="AD24" s="19" t="s">
        <v>1032</v>
      </c>
      <c r="AE24" s="48"/>
      <c r="AF24" s="40" t="s">
        <v>148</v>
      </c>
      <c r="AG24" s="19" t="s">
        <v>1029</v>
      </c>
      <c r="AH24" s="21">
        <v>3</v>
      </c>
      <c r="AI24" s="21">
        <v>2</v>
      </c>
      <c r="AJ24" s="21">
        <v>0</v>
      </c>
      <c r="AK24" s="21">
        <v>0</v>
      </c>
      <c r="AL24" s="24">
        <f t="shared" si="6"/>
        <v>5</v>
      </c>
      <c r="AM24" s="12"/>
      <c r="AN24" s="12"/>
      <c r="AO24" s="12"/>
      <c r="AP24" s="12"/>
      <c r="AQ24" s="55">
        <f t="shared" si="2"/>
        <v>210.9</v>
      </c>
      <c r="AR24" s="21"/>
      <c r="AS24" s="12">
        <v>147</v>
      </c>
      <c r="AT24" s="26"/>
      <c r="AU24" s="49"/>
      <c r="AV24" s="136"/>
      <c r="AW24" s="137"/>
    </row>
    <row r="25" spans="1:50" s="4" customFormat="1" ht="19.399999999999999" customHeight="1">
      <c r="A25" s="18" t="s">
        <v>134</v>
      </c>
      <c r="B25" s="18" t="s">
        <v>990</v>
      </c>
      <c r="C25" s="19" t="s">
        <v>710</v>
      </c>
      <c r="D25" s="19" t="s">
        <v>171</v>
      </c>
      <c r="E25" s="19" t="s">
        <v>1033</v>
      </c>
      <c r="F25" s="58">
        <v>8</v>
      </c>
      <c r="G25" s="43">
        <v>23</v>
      </c>
      <c r="H25" s="44">
        <v>9</v>
      </c>
      <c r="I25" s="44" t="s">
        <v>38</v>
      </c>
      <c r="J25" s="43">
        <v>119</v>
      </c>
      <c r="K25" s="44">
        <v>52.1</v>
      </c>
      <c r="L25" s="44" t="s">
        <v>122</v>
      </c>
      <c r="M25" s="43" t="s">
        <v>115</v>
      </c>
      <c r="N25" s="45">
        <v>15</v>
      </c>
      <c r="O25" s="45">
        <v>3</v>
      </c>
      <c r="P25" s="45">
        <v>2</v>
      </c>
      <c r="Q25" s="45">
        <v>1</v>
      </c>
      <c r="R25" s="46">
        <v>3.98</v>
      </c>
      <c r="S25" s="46">
        <v>4.18</v>
      </c>
      <c r="T25" s="46">
        <v>304</v>
      </c>
      <c r="U25" s="47">
        <v>2973</v>
      </c>
      <c r="V25" s="23">
        <v>24</v>
      </c>
      <c r="W25" s="38">
        <v>0</v>
      </c>
      <c r="X25" s="38">
        <v>24</v>
      </c>
      <c r="Y25" s="38">
        <v>0</v>
      </c>
      <c r="Z25" s="38">
        <v>0</v>
      </c>
      <c r="AA25" s="44">
        <v>24.7</v>
      </c>
      <c r="AB25" s="44">
        <f t="shared" ref="AB25" si="12">AA25/24</f>
        <v>1.0291666666666666</v>
      </c>
      <c r="AC25" s="52" t="s">
        <v>125</v>
      </c>
      <c r="AD25" s="19" t="s">
        <v>1031</v>
      </c>
      <c r="AE25" s="48"/>
      <c r="AF25" s="40" t="s">
        <v>148</v>
      </c>
      <c r="AG25" s="19" t="s">
        <v>1029</v>
      </c>
      <c r="AH25" s="21">
        <v>0</v>
      </c>
      <c r="AI25" s="21">
        <v>6.4</v>
      </c>
      <c r="AJ25" s="21">
        <v>0</v>
      </c>
      <c r="AK25" s="21">
        <v>0</v>
      </c>
      <c r="AL25" s="24">
        <f t="shared" si="6"/>
        <v>6.4</v>
      </c>
      <c r="AM25" s="12"/>
      <c r="AN25" s="12"/>
      <c r="AO25" s="12"/>
      <c r="AP25" s="12"/>
      <c r="AQ25" s="55">
        <f t="shared" si="2"/>
        <v>204.5</v>
      </c>
      <c r="AR25" s="21"/>
      <c r="AS25" s="12">
        <v>141</v>
      </c>
      <c r="AT25" s="26"/>
      <c r="AU25" s="49"/>
      <c r="AV25" s="136"/>
      <c r="AW25" s="137"/>
    </row>
    <row r="26" spans="1:50" s="4" customFormat="1" ht="19.399999999999999" customHeight="1">
      <c r="A26" s="18" t="s">
        <v>134</v>
      </c>
      <c r="B26" s="18" t="s">
        <v>990</v>
      </c>
      <c r="C26" s="19" t="s">
        <v>710</v>
      </c>
      <c r="D26" s="19" t="s">
        <v>171</v>
      </c>
      <c r="E26" s="19" t="s">
        <v>1034</v>
      </c>
      <c r="F26" s="58">
        <v>8</v>
      </c>
      <c r="G26" s="43">
        <v>22</v>
      </c>
      <c r="H26" s="44">
        <v>36.799999999999997</v>
      </c>
      <c r="I26" s="44" t="s">
        <v>38</v>
      </c>
      <c r="J26" s="43">
        <v>120</v>
      </c>
      <c r="K26" s="44">
        <v>17.2</v>
      </c>
      <c r="L26" s="44" t="s">
        <v>122</v>
      </c>
      <c r="M26" s="43" t="s">
        <v>115</v>
      </c>
      <c r="N26" s="45">
        <v>13</v>
      </c>
      <c r="O26" s="45">
        <v>3</v>
      </c>
      <c r="P26" s="45">
        <v>1</v>
      </c>
      <c r="Q26" s="45">
        <v>1</v>
      </c>
      <c r="R26" s="46">
        <v>3.98</v>
      </c>
      <c r="S26" s="46">
        <v>4.18</v>
      </c>
      <c r="T26" s="46">
        <v>304</v>
      </c>
      <c r="U26" s="47">
        <v>2973</v>
      </c>
      <c r="V26" s="23">
        <v>24</v>
      </c>
      <c r="W26" s="38">
        <v>0</v>
      </c>
      <c r="X26" s="38">
        <v>21.6</v>
      </c>
      <c r="Y26" s="38">
        <v>2.4</v>
      </c>
      <c r="Z26" s="38">
        <v>0</v>
      </c>
      <c r="AA26" s="44">
        <v>48.3</v>
      </c>
      <c r="AB26" s="44">
        <f t="shared" ref="AB26" si="13">AA26/24</f>
        <v>2.0124999999999997</v>
      </c>
      <c r="AC26" s="52" t="s">
        <v>113</v>
      </c>
      <c r="AD26" s="13">
        <v>233</v>
      </c>
      <c r="AE26" s="20"/>
      <c r="AF26" s="13">
        <v>0</v>
      </c>
      <c r="AG26" s="20">
        <v>0</v>
      </c>
      <c r="AH26" s="20">
        <v>0</v>
      </c>
      <c r="AI26" s="20">
        <v>4.4000000000000004</v>
      </c>
      <c r="AJ26" s="20">
        <v>0.5</v>
      </c>
      <c r="AK26" s="20">
        <v>0</v>
      </c>
      <c r="AL26" s="24">
        <f t="shared" si="6"/>
        <v>4.9000000000000004</v>
      </c>
      <c r="AM26" s="12"/>
      <c r="AN26" s="12"/>
      <c r="AO26" s="20"/>
      <c r="AP26" s="12"/>
      <c r="AQ26" s="55">
        <f>AQ25-AL26</f>
        <v>199.6</v>
      </c>
      <c r="AR26" s="21"/>
      <c r="AS26" s="12">
        <v>129</v>
      </c>
      <c r="AT26" s="26"/>
      <c r="AU26" s="49"/>
      <c r="AV26" s="139" t="s">
        <v>1035</v>
      </c>
      <c r="AW26" s="140"/>
    </row>
    <row r="27" spans="1:50" s="4" customFormat="1" ht="19.399999999999999" customHeight="1">
      <c r="A27" s="18" t="s">
        <v>134</v>
      </c>
      <c r="B27" s="18" t="s">
        <v>1036</v>
      </c>
      <c r="C27" s="19" t="s">
        <v>171</v>
      </c>
      <c r="D27" s="19" t="s">
        <v>710</v>
      </c>
      <c r="E27" s="19" t="s">
        <v>1037</v>
      </c>
      <c r="F27" s="58">
        <v>8</v>
      </c>
      <c r="G27" s="43">
        <v>22</v>
      </c>
      <c r="H27" s="44">
        <v>57.4</v>
      </c>
      <c r="I27" s="44" t="s">
        <v>38</v>
      </c>
      <c r="J27" s="43">
        <v>120</v>
      </c>
      <c r="K27" s="44">
        <v>8.3000000000000007</v>
      </c>
      <c r="L27" s="44" t="s">
        <v>122</v>
      </c>
      <c r="M27" s="43" t="s">
        <v>115</v>
      </c>
      <c r="N27" s="45">
        <v>13</v>
      </c>
      <c r="O27" s="45">
        <v>2</v>
      </c>
      <c r="P27" s="45">
        <v>1</v>
      </c>
      <c r="Q27" s="45">
        <v>1</v>
      </c>
      <c r="R27" s="46">
        <v>3.94</v>
      </c>
      <c r="S27" s="46">
        <v>4.0999999999999996</v>
      </c>
      <c r="T27" s="46">
        <v>304</v>
      </c>
      <c r="U27" s="47">
        <v>2973</v>
      </c>
      <c r="V27" s="23">
        <v>24</v>
      </c>
      <c r="W27" s="38">
        <v>1.8</v>
      </c>
      <c r="X27" s="38">
        <v>1.1000000000000001</v>
      </c>
      <c r="Y27" s="38">
        <v>21.1</v>
      </c>
      <c r="Z27" s="38">
        <v>0</v>
      </c>
      <c r="AA27" s="44">
        <v>25.1</v>
      </c>
      <c r="AB27" s="44">
        <f t="shared" ref="AB27" si="14">AA27/24</f>
        <v>1.0458333333333334</v>
      </c>
      <c r="AC27" s="52" t="s">
        <v>126</v>
      </c>
      <c r="AD27" s="13" t="s">
        <v>1038</v>
      </c>
      <c r="AE27" s="20"/>
      <c r="AF27" s="13">
        <v>1</v>
      </c>
      <c r="AG27" s="20" t="s">
        <v>1039</v>
      </c>
      <c r="AH27" s="20">
        <v>4.5</v>
      </c>
      <c r="AI27" s="20">
        <v>0.6</v>
      </c>
      <c r="AJ27" s="20">
        <v>0.2</v>
      </c>
      <c r="AK27" s="20">
        <v>0</v>
      </c>
      <c r="AL27" s="24">
        <f t="shared" si="6"/>
        <v>5.3</v>
      </c>
      <c r="AM27" s="12"/>
      <c r="AN27" s="12"/>
      <c r="AO27" s="12"/>
      <c r="AP27" s="12"/>
      <c r="AQ27" s="55">
        <f t="shared" ref="AQ27:AQ53" si="15">AQ26-AL27+AX27</f>
        <v>444.29999999999995</v>
      </c>
      <c r="AR27" s="21"/>
      <c r="AS27" s="12">
        <v>121</v>
      </c>
      <c r="AT27" s="26"/>
      <c r="AU27" s="49"/>
      <c r="AV27" s="136" t="s">
        <v>1040</v>
      </c>
      <c r="AW27" s="137"/>
      <c r="AX27" s="4">
        <v>250</v>
      </c>
    </row>
    <row r="28" spans="1:50" s="4" customFormat="1" ht="19.399999999999999" customHeight="1">
      <c r="A28" s="18" t="s">
        <v>134</v>
      </c>
      <c r="B28" s="18" t="s">
        <v>1036</v>
      </c>
      <c r="C28" s="19" t="s">
        <v>171</v>
      </c>
      <c r="D28" s="19" t="s">
        <v>710</v>
      </c>
      <c r="E28" s="19" t="s">
        <v>1041</v>
      </c>
      <c r="F28" s="58">
        <v>8</v>
      </c>
      <c r="G28" s="43">
        <v>22</v>
      </c>
      <c r="H28" s="44">
        <v>58.3</v>
      </c>
      <c r="I28" s="44" t="s">
        <v>38</v>
      </c>
      <c r="J28" s="43">
        <v>120</v>
      </c>
      <c r="K28" s="44">
        <v>10.4</v>
      </c>
      <c r="L28" s="44" t="s">
        <v>122</v>
      </c>
      <c r="M28" s="43" t="s">
        <v>123</v>
      </c>
      <c r="N28" s="45">
        <v>13</v>
      </c>
      <c r="O28" s="45">
        <v>2</v>
      </c>
      <c r="P28" s="45">
        <v>1</v>
      </c>
      <c r="Q28" s="45">
        <v>1</v>
      </c>
      <c r="R28" s="46">
        <v>3.94</v>
      </c>
      <c r="S28" s="46">
        <v>4.0999999999999996</v>
      </c>
      <c r="T28" s="46">
        <v>304</v>
      </c>
      <c r="U28" s="47">
        <v>2973</v>
      </c>
      <c r="V28" s="23">
        <v>24</v>
      </c>
      <c r="W28" s="38">
        <v>0</v>
      </c>
      <c r="X28" s="38">
        <v>0.7</v>
      </c>
      <c r="Y28" s="38">
        <v>23.3</v>
      </c>
      <c r="Z28" s="38">
        <v>0</v>
      </c>
      <c r="AA28" s="44">
        <v>2.2000000000000002</v>
      </c>
      <c r="AB28" s="44">
        <f t="shared" ref="AB28" si="16">AA28/24</f>
        <v>9.1666666666666674E-2</v>
      </c>
      <c r="AC28" s="52" t="s">
        <v>119</v>
      </c>
      <c r="AD28" s="13">
        <v>238</v>
      </c>
      <c r="AE28" s="20"/>
      <c r="AF28" s="20">
        <v>0</v>
      </c>
      <c r="AG28" s="20">
        <v>0</v>
      </c>
      <c r="AH28" s="20">
        <v>0</v>
      </c>
      <c r="AI28" s="20">
        <v>0.4</v>
      </c>
      <c r="AJ28" s="20">
        <v>1.6</v>
      </c>
      <c r="AK28" s="20">
        <v>0</v>
      </c>
      <c r="AL28" s="24">
        <f t="shared" si="6"/>
        <v>2</v>
      </c>
      <c r="AM28" s="12"/>
      <c r="AN28" s="12"/>
      <c r="AO28" s="12"/>
      <c r="AP28" s="12"/>
      <c r="AQ28" s="55">
        <f t="shared" si="15"/>
        <v>442.29999999999995</v>
      </c>
      <c r="AR28" s="21"/>
      <c r="AS28" s="12">
        <v>312</v>
      </c>
      <c r="AT28" s="26"/>
      <c r="AU28" s="49"/>
      <c r="AV28" s="136"/>
      <c r="AW28" s="137"/>
    </row>
    <row r="29" spans="1:50" s="4" customFormat="1" ht="19.399999999999999" customHeight="1">
      <c r="A29" s="18" t="s">
        <v>134</v>
      </c>
      <c r="B29" s="18" t="s">
        <v>1036</v>
      </c>
      <c r="C29" s="19" t="s">
        <v>171</v>
      </c>
      <c r="D29" s="19" t="s">
        <v>710</v>
      </c>
      <c r="E29" s="19" t="s">
        <v>1042</v>
      </c>
      <c r="F29" s="58">
        <v>8</v>
      </c>
      <c r="G29" s="43">
        <v>22</v>
      </c>
      <c r="H29" s="44">
        <v>58.3</v>
      </c>
      <c r="I29" s="44" t="s">
        <v>38</v>
      </c>
      <c r="J29" s="43">
        <v>120</v>
      </c>
      <c r="K29" s="44">
        <v>10.4</v>
      </c>
      <c r="L29" s="44" t="s">
        <v>122</v>
      </c>
      <c r="M29" s="43" t="s">
        <v>123</v>
      </c>
      <c r="N29" s="45">
        <v>13</v>
      </c>
      <c r="O29" s="45">
        <v>2</v>
      </c>
      <c r="P29" s="45">
        <v>1</v>
      </c>
      <c r="Q29" s="45">
        <v>1</v>
      </c>
      <c r="R29" s="46">
        <v>3.94</v>
      </c>
      <c r="S29" s="46">
        <v>4.0999999999999996</v>
      </c>
      <c r="T29" s="46">
        <v>304</v>
      </c>
      <c r="U29" s="47">
        <v>2973</v>
      </c>
      <c r="V29" s="23">
        <v>24</v>
      </c>
      <c r="W29" s="38">
        <v>0</v>
      </c>
      <c r="X29" s="38">
        <v>0</v>
      </c>
      <c r="Y29" s="38">
        <v>24</v>
      </c>
      <c r="Z29" s="38">
        <v>0</v>
      </c>
      <c r="AA29" s="44">
        <v>0</v>
      </c>
      <c r="AB29" s="44">
        <f t="shared" ref="AB29" si="17">AA29/24</f>
        <v>0</v>
      </c>
      <c r="AC29" s="52" t="s">
        <v>119</v>
      </c>
      <c r="AD29" s="13">
        <v>226</v>
      </c>
      <c r="AE29" s="20"/>
      <c r="AF29" s="20">
        <v>0</v>
      </c>
      <c r="AG29" s="20">
        <v>0</v>
      </c>
      <c r="AH29" s="20">
        <v>0</v>
      </c>
      <c r="AI29" s="20">
        <v>0</v>
      </c>
      <c r="AJ29" s="20">
        <v>1.8</v>
      </c>
      <c r="AK29" s="20">
        <v>0</v>
      </c>
      <c r="AL29" s="24">
        <f t="shared" si="6"/>
        <v>1.8</v>
      </c>
      <c r="AM29" s="12"/>
      <c r="AN29" s="12"/>
      <c r="AO29" s="12"/>
      <c r="AP29" s="12"/>
      <c r="AQ29" s="55">
        <f t="shared" si="15"/>
        <v>440.49999999999994</v>
      </c>
      <c r="AR29" s="21"/>
      <c r="AS29" s="12">
        <v>307</v>
      </c>
      <c r="AT29" s="26"/>
      <c r="AU29" s="49"/>
      <c r="AV29" s="136"/>
      <c r="AW29" s="137"/>
    </row>
    <row r="30" spans="1:50" s="4" customFormat="1" ht="19.399999999999999" customHeight="1">
      <c r="A30" s="18" t="s">
        <v>134</v>
      </c>
      <c r="B30" s="18" t="s">
        <v>1036</v>
      </c>
      <c r="C30" s="19" t="s">
        <v>171</v>
      </c>
      <c r="D30" s="19" t="s">
        <v>710</v>
      </c>
      <c r="E30" s="19" t="s">
        <v>1043</v>
      </c>
      <c r="F30" s="58">
        <v>8</v>
      </c>
      <c r="G30" s="43">
        <v>22</v>
      </c>
      <c r="H30" s="44">
        <v>58.3</v>
      </c>
      <c r="I30" s="44" t="s">
        <v>38</v>
      </c>
      <c r="J30" s="43">
        <v>120</v>
      </c>
      <c r="K30" s="44">
        <v>10.4</v>
      </c>
      <c r="L30" s="44" t="s">
        <v>122</v>
      </c>
      <c r="M30" s="43" t="s">
        <v>96</v>
      </c>
      <c r="N30" s="45">
        <v>13</v>
      </c>
      <c r="O30" s="45">
        <v>2</v>
      </c>
      <c r="P30" s="45">
        <v>1</v>
      </c>
      <c r="Q30" s="45">
        <v>1</v>
      </c>
      <c r="R30" s="46">
        <v>3.94</v>
      </c>
      <c r="S30" s="46">
        <v>4.0999999999999996</v>
      </c>
      <c r="T30" s="46">
        <v>304</v>
      </c>
      <c r="U30" s="47">
        <v>2973</v>
      </c>
      <c r="V30" s="23">
        <v>24</v>
      </c>
      <c r="W30" s="38">
        <v>0</v>
      </c>
      <c r="X30" s="38">
        <v>0</v>
      </c>
      <c r="Y30" s="38">
        <v>24</v>
      </c>
      <c r="Z30" s="38">
        <v>0</v>
      </c>
      <c r="AA30" s="44">
        <v>0</v>
      </c>
      <c r="AB30" s="44">
        <f t="shared" ref="AB30" si="18">AA30/24</f>
        <v>0</v>
      </c>
      <c r="AC30" s="52" t="s">
        <v>119</v>
      </c>
      <c r="AD30" s="13">
        <v>241</v>
      </c>
      <c r="AE30" s="20"/>
      <c r="AF30" s="20">
        <v>0</v>
      </c>
      <c r="AG30" s="20">
        <v>0</v>
      </c>
      <c r="AH30" s="20">
        <v>0</v>
      </c>
      <c r="AI30" s="20">
        <v>0</v>
      </c>
      <c r="AJ30" s="20">
        <v>2.1</v>
      </c>
      <c r="AK30" s="20">
        <v>0</v>
      </c>
      <c r="AL30" s="24">
        <f t="shared" si="6"/>
        <v>2.1</v>
      </c>
      <c r="AM30" s="12"/>
      <c r="AN30" s="12"/>
      <c r="AO30" s="12"/>
      <c r="AP30" s="12"/>
      <c r="AQ30" s="55">
        <f t="shared" si="15"/>
        <v>438.39999999999992</v>
      </c>
      <c r="AR30" s="21"/>
      <c r="AS30" s="53">
        <v>304</v>
      </c>
      <c r="AT30" s="26"/>
      <c r="AU30" s="49"/>
      <c r="AV30" s="139"/>
      <c r="AW30" s="140"/>
    </row>
    <row r="31" spans="1:50" s="4" customFormat="1" ht="19.399999999999999" customHeight="1">
      <c r="A31" s="18" t="s">
        <v>134</v>
      </c>
      <c r="B31" s="18" t="s">
        <v>1046</v>
      </c>
      <c r="C31" s="19" t="s">
        <v>710</v>
      </c>
      <c r="D31" s="19" t="s">
        <v>710</v>
      </c>
      <c r="E31" s="19" t="s">
        <v>1047</v>
      </c>
      <c r="F31" s="58">
        <v>8</v>
      </c>
      <c r="G31" s="43">
        <v>22</v>
      </c>
      <c r="H31" s="44">
        <v>42.4</v>
      </c>
      <c r="I31" s="44" t="s">
        <v>38</v>
      </c>
      <c r="J31" s="43">
        <v>120</v>
      </c>
      <c r="K31" s="44">
        <v>11.3</v>
      </c>
      <c r="L31" s="44" t="s">
        <v>122</v>
      </c>
      <c r="M31" s="43" t="s">
        <v>96</v>
      </c>
      <c r="N31" s="45">
        <v>13</v>
      </c>
      <c r="O31" s="45">
        <v>3</v>
      </c>
      <c r="P31" s="45">
        <v>2</v>
      </c>
      <c r="Q31" s="45">
        <v>1</v>
      </c>
      <c r="R31" s="46">
        <v>4.16</v>
      </c>
      <c r="S31" s="46">
        <v>4.4800000000000004</v>
      </c>
      <c r="T31" s="46">
        <v>304</v>
      </c>
      <c r="U31" s="47">
        <v>3178</v>
      </c>
      <c r="V31" s="23">
        <v>24</v>
      </c>
      <c r="W31" s="38">
        <v>1.4</v>
      </c>
      <c r="X31" s="38">
        <v>0.5</v>
      </c>
      <c r="Y31" s="38">
        <v>22.1</v>
      </c>
      <c r="Z31" s="38">
        <v>0</v>
      </c>
      <c r="AA31" s="44">
        <v>18.100000000000001</v>
      </c>
      <c r="AB31" s="44">
        <f t="shared" ref="AB31" si="19">AA31/24</f>
        <v>0.75416666666666676</v>
      </c>
      <c r="AC31" s="52" t="s">
        <v>131</v>
      </c>
      <c r="AD31" s="13" t="s">
        <v>1044</v>
      </c>
      <c r="AE31" s="20"/>
      <c r="AF31" s="20" t="s">
        <v>137</v>
      </c>
      <c r="AG31" s="20" t="s">
        <v>1045</v>
      </c>
      <c r="AH31" s="20">
        <v>0.3</v>
      </c>
      <c r="AI31" s="20">
        <v>0.1</v>
      </c>
      <c r="AJ31" s="20">
        <v>1.3</v>
      </c>
      <c r="AK31" s="20">
        <v>0</v>
      </c>
      <c r="AL31" s="24">
        <f t="shared" si="6"/>
        <v>1.7000000000000002</v>
      </c>
      <c r="AM31" s="12"/>
      <c r="AN31" s="12"/>
      <c r="AO31" s="12"/>
      <c r="AP31" s="12"/>
      <c r="AQ31" s="55">
        <f t="shared" si="15"/>
        <v>436.69999999999993</v>
      </c>
      <c r="AR31" s="21"/>
      <c r="AS31" s="12">
        <v>300</v>
      </c>
      <c r="AT31" s="26"/>
      <c r="AU31" s="49"/>
      <c r="AV31" s="139"/>
      <c r="AW31" s="140"/>
    </row>
    <row r="32" spans="1:50" s="4" customFormat="1" ht="19.399999999999999" customHeight="1">
      <c r="A32" s="18" t="s">
        <v>134</v>
      </c>
      <c r="B32" s="18" t="s">
        <v>1046</v>
      </c>
      <c r="C32" s="19" t="s">
        <v>710</v>
      </c>
      <c r="D32" s="19" t="s">
        <v>710</v>
      </c>
      <c r="E32" s="19" t="s">
        <v>1050</v>
      </c>
      <c r="F32" s="58">
        <v>8</v>
      </c>
      <c r="G32" s="43">
        <v>22</v>
      </c>
      <c r="H32" s="44">
        <v>58.1</v>
      </c>
      <c r="I32" s="44" t="s">
        <v>38</v>
      </c>
      <c r="J32" s="43">
        <v>121</v>
      </c>
      <c r="K32" s="44">
        <v>26.2</v>
      </c>
      <c r="L32" s="44" t="s">
        <v>122</v>
      </c>
      <c r="M32" s="43" t="s">
        <v>96</v>
      </c>
      <c r="N32" s="45">
        <v>5</v>
      </c>
      <c r="O32" s="45">
        <v>2</v>
      </c>
      <c r="P32" s="45">
        <v>1</v>
      </c>
      <c r="Q32" s="45">
        <v>1</v>
      </c>
      <c r="R32" s="46">
        <v>4.16</v>
      </c>
      <c r="S32" s="46">
        <v>4.4800000000000004</v>
      </c>
      <c r="T32" s="46">
        <v>304</v>
      </c>
      <c r="U32" s="47">
        <v>3178</v>
      </c>
      <c r="V32" s="23">
        <v>24</v>
      </c>
      <c r="W32" s="38">
        <v>18.600000000000001</v>
      </c>
      <c r="X32" s="38">
        <v>5.4</v>
      </c>
      <c r="Y32" s="38">
        <v>0</v>
      </c>
      <c r="Z32" s="38">
        <v>0</v>
      </c>
      <c r="AA32" s="44">
        <v>151.1</v>
      </c>
      <c r="AB32" s="44">
        <f t="shared" ref="AB32" si="20">AA32/24</f>
        <v>6.2958333333333334</v>
      </c>
      <c r="AC32" s="52" t="s">
        <v>131</v>
      </c>
      <c r="AD32" s="43" t="s">
        <v>1048</v>
      </c>
      <c r="AE32" s="40"/>
      <c r="AF32" s="20" t="s">
        <v>1049</v>
      </c>
      <c r="AG32" s="20" t="s">
        <v>841</v>
      </c>
      <c r="AH32" s="20">
        <v>4</v>
      </c>
      <c r="AI32" s="20">
        <v>1.9</v>
      </c>
      <c r="AJ32" s="20">
        <v>0</v>
      </c>
      <c r="AK32" s="20">
        <v>0</v>
      </c>
      <c r="AL32" s="24">
        <f t="shared" si="6"/>
        <v>5.9</v>
      </c>
      <c r="AM32" s="12"/>
      <c r="AN32" s="12"/>
      <c r="AO32" s="12"/>
      <c r="AP32" s="12"/>
      <c r="AQ32" s="55">
        <f t="shared" si="15"/>
        <v>430.79999999999995</v>
      </c>
      <c r="AR32" s="38"/>
      <c r="AS32" s="38">
        <v>293</v>
      </c>
      <c r="AT32" s="26"/>
      <c r="AU32" s="49"/>
      <c r="AV32" s="139"/>
      <c r="AW32" s="140"/>
    </row>
    <row r="33" spans="1:49" s="4" customFormat="1" ht="19.399999999999999" customHeight="1">
      <c r="A33" s="18" t="s">
        <v>134</v>
      </c>
      <c r="B33" s="18" t="s">
        <v>1046</v>
      </c>
      <c r="C33" s="19" t="s">
        <v>710</v>
      </c>
      <c r="D33" s="19" t="s">
        <v>710</v>
      </c>
      <c r="E33" s="19" t="s">
        <v>1053</v>
      </c>
      <c r="F33" s="58">
        <v>8</v>
      </c>
      <c r="G33" s="43">
        <v>24</v>
      </c>
      <c r="H33" s="44">
        <v>31.9</v>
      </c>
      <c r="I33" s="44" t="s">
        <v>38</v>
      </c>
      <c r="J33" s="43">
        <v>122</v>
      </c>
      <c r="K33" s="44">
        <v>7.5</v>
      </c>
      <c r="L33" s="44" t="s">
        <v>122</v>
      </c>
      <c r="M33" s="43" t="s">
        <v>96</v>
      </c>
      <c r="N33" s="45">
        <v>5</v>
      </c>
      <c r="O33" s="45">
        <v>3</v>
      </c>
      <c r="P33" s="45">
        <v>2</v>
      </c>
      <c r="Q33" s="45">
        <v>1</v>
      </c>
      <c r="R33" s="46">
        <v>4.16</v>
      </c>
      <c r="S33" s="46">
        <v>4.4800000000000004</v>
      </c>
      <c r="T33" s="46">
        <v>304</v>
      </c>
      <c r="U33" s="47">
        <v>3178</v>
      </c>
      <c r="V33" s="23">
        <v>24</v>
      </c>
      <c r="W33" s="38">
        <v>9.5</v>
      </c>
      <c r="X33" s="38">
        <v>14.5</v>
      </c>
      <c r="Y33" s="38">
        <v>0</v>
      </c>
      <c r="Z33" s="38">
        <v>0</v>
      </c>
      <c r="AA33" s="44">
        <v>141.80000000000001</v>
      </c>
      <c r="AB33" s="44">
        <f t="shared" ref="AB33" si="21">AA33/24</f>
        <v>5.9083333333333341</v>
      </c>
      <c r="AC33" s="52" t="s">
        <v>131</v>
      </c>
      <c r="AD33" s="43" t="s">
        <v>1051</v>
      </c>
      <c r="AE33" s="40"/>
      <c r="AF33" s="40" t="s">
        <v>137</v>
      </c>
      <c r="AG33" s="40" t="s">
        <v>1052</v>
      </c>
      <c r="AH33" s="38">
        <v>2.7</v>
      </c>
      <c r="AI33" s="38">
        <v>3</v>
      </c>
      <c r="AJ33" s="38">
        <v>0</v>
      </c>
      <c r="AK33" s="38">
        <v>0</v>
      </c>
      <c r="AL33" s="24">
        <f t="shared" si="6"/>
        <v>5.7</v>
      </c>
      <c r="AM33" s="12"/>
      <c r="AN33" s="12"/>
      <c r="AO33" s="12"/>
      <c r="AP33" s="12"/>
      <c r="AQ33" s="55">
        <f t="shared" si="15"/>
        <v>425.09999999999997</v>
      </c>
      <c r="AR33" s="38"/>
      <c r="AS33" s="38">
        <v>282</v>
      </c>
      <c r="AT33" s="26"/>
      <c r="AU33" s="49"/>
      <c r="AV33" s="136"/>
      <c r="AW33" s="137"/>
    </row>
    <row r="34" spans="1:49" s="4" customFormat="1" ht="19.399999999999999" customHeight="1">
      <c r="A34" s="18" t="s">
        <v>134</v>
      </c>
      <c r="B34" s="18" t="s">
        <v>1046</v>
      </c>
      <c r="C34" s="19" t="s">
        <v>710</v>
      </c>
      <c r="D34" s="19" t="s">
        <v>710</v>
      </c>
      <c r="E34" s="19" t="s">
        <v>1057</v>
      </c>
      <c r="F34" s="58">
        <v>8</v>
      </c>
      <c r="G34" s="43">
        <v>23</v>
      </c>
      <c r="H34" s="44">
        <v>3.8</v>
      </c>
      <c r="I34" s="44" t="s">
        <v>38</v>
      </c>
      <c r="J34" s="43">
        <v>121</v>
      </c>
      <c r="K34" s="44">
        <v>23.4</v>
      </c>
      <c r="L34" s="44" t="s">
        <v>122</v>
      </c>
      <c r="M34" s="43" t="s">
        <v>1058</v>
      </c>
      <c r="N34" s="45">
        <v>6</v>
      </c>
      <c r="O34" s="45">
        <v>6</v>
      </c>
      <c r="P34" s="45">
        <v>3</v>
      </c>
      <c r="Q34" s="45">
        <v>2</v>
      </c>
      <c r="R34" s="46">
        <v>4.16</v>
      </c>
      <c r="S34" s="46">
        <v>4.4800000000000004</v>
      </c>
      <c r="T34" s="46">
        <v>304</v>
      </c>
      <c r="U34" s="47">
        <v>3178</v>
      </c>
      <c r="V34" s="23">
        <v>24</v>
      </c>
      <c r="W34" s="38">
        <v>19.600000000000001</v>
      </c>
      <c r="X34" s="38">
        <v>4.4000000000000004</v>
      </c>
      <c r="Y34" s="38">
        <v>0</v>
      </c>
      <c r="Z34" s="38">
        <v>0</v>
      </c>
      <c r="AA34" s="44">
        <v>134.30000000000001</v>
      </c>
      <c r="AB34" s="44">
        <f t="shared" ref="AB34" si="22">AA34/24</f>
        <v>5.5958333333333341</v>
      </c>
      <c r="AC34" s="52" t="s">
        <v>131</v>
      </c>
      <c r="AD34" s="40" t="s">
        <v>1054</v>
      </c>
      <c r="AE34" s="40"/>
      <c r="AF34" s="41" t="s">
        <v>1055</v>
      </c>
      <c r="AG34" s="40" t="s">
        <v>1056</v>
      </c>
      <c r="AH34" s="38">
        <v>5</v>
      </c>
      <c r="AI34" s="38">
        <v>1.2</v>
      </c>
      <c r="AJ34" s="38">
        <v>0</v>
      </c>
      <c r="AK34" s="38">
        <v>0</v>
      </c>
      <c r="AL34" s="24">
        <f t="shared" si="6"/>
        <v>6.2</v>
      </c>
      <c r="AM34" s="12"/>
      <c r="AN34" s="12"/>
      <c r="AO34" s="12"/>
      <c r="AP34" s="12"/>
      <c r="AQ34" s="55">
        <f t="shared" si="15"/>
        <v>418.9</v>
      </c>
      <c r="AR34" s="38"/>
      <c r="AS34" s="38">
        <v>274</v>
      </c>
      <c r="AT34" s="26"/>
      <c r="AU34" s="49"/>
      <c r="AV34" s="136"/>
      <c r="AW34" s="137"/>
    </row>
    <row r="35" spans="1:49" s="4" customFormat="1" ht="19.399999999999999" customHeight="1">
      <c r="A35" s="18" t="s">
        <v>134</v>
      </c>
      <c r="B35" s="18" t="s">
        <v>1046</v>
      </c>
      <c r="C35" s="19" t="s">
        <v>710</v>
      </c>
      <c r="D35" s="19" t="s">
        <v>710</v>
      </c>
      <c r="E35" s="19" t="s">
        <v>1062</v>
      </c>
      <c r="F35" s="58">
        <v>8</v>
      </c>
      <c r="G35" s="43">
        <v>22</v>
      </c>
      <c r="H35" s="44">
        <v>5.6</v>
      </c>
      <c r="I35" s="44" t="s">
        <v>38</v>
      </c>
      <c r="J35" s="43">
        <v>121</v>
      </c>
      <c r="K35" s="44">
        <v>23.9</v>
      </c>
      <c r="L35" s="44" t="s">
        <v>122</v>
      </c>
      <c r="M35" s="43" t="s">
        <v>117</v>
      </c>
      <c r="N35" s="45">
        <v>3</v>
      </c>
      <c r="O35" s="45">
        <v>6</v>
      </c>
      <c r="P35" s="45">
        <v>4</v>
      </c>
      <c r="Q35" s="45">
        <v>2</v>
      </c>
      <c r="R35" s="46">
        <v>4.16</v>
      </c>
      <c r="S35" s="46">
        <v>4.4800000000000004</v>
      </c>
      <c r="T35" s="46">
        <v>304</v>
      </c>
      <c r="U35" s="47">
        <v>3178</v>
      </c>
      <c r="V35" s="23">
        <v>24</v>
      </c>
      <c r="W35" s="38">
        <v>0</v>
      </c>
      <c r="X35" s="38">
        <v>24</v>
      </c>
      <c r="Y35" s="38">
        <v>0</v>
      </c>
      <c r="Z35" s="38">
        <v>0</v>
      </c>
      <c r="AA35" s="44">
        <v>74.400000000000006</v>
      </c>
      <c r="AB35" s="44">
        <f t="shared" ref="AB35" si="23">AA35/24</f>
        <v>3.1</v>
      </c>
      <c r="AC35" s="52" t="s">
        <v>131</v>
      </c>
      <c r="AD35" s="40" t="s">
        <v>1059</v>
      </c>
      <c r="AE35" s="40"/>
      <c r="AF35" s="41" t="s">
        <v>1060</v>
      </c>
      <c r="AG35" s="40" t="s">
        <v>1061</v>
      </c>
      <c r="AH35" s="38">
        <v>0</v>
      </c>
      <c r="AI35" s="38">
        <v>5.9</v>
      </c>
      <c r="AJ35" s="38">
        <v>0</v>
      </c>
      <c r="AK35" s="38">
        <v>0</v>
      </c>
      <c r="AL35" s="24">
        <f t="shared" si="6"/>
        <v>5.9</v>
      </c>
      <c r="AM35" s="12"/>
      <c r="AN35" s="12"/>
      <c r="AO35" s="12"/>
      <c r="AP35" s="12"/>
      <c r="AQ35" s="55">
        <f t="shared" si="15"/>
        <v>413</v>
      </c>
      <c r="AR35" s="38"/>
      <c r="AS35" s="38">
        <v>272</v>
      </c>
      <c r="AT35" s="26"/>
      <c r="AU35" s="49"/>
      <c r="AV35" s="136"/>
      <c r="AW35" s="137"/>
    </row>
    <row r="36" spans="1:49" s="4" customFormat="1" ht="19.399999999999999" customHeight="1">
      <c r="A36" s="18" t="s">
        <v>134</v>
      </c>
      <c r="B36" s="18" t="s">
        <v>1046</v>
      </c>
      <c r="C36" s="19" t="s">
        <v>710</v>
      </c>
      <c r="D36" s="19" t="s">
        <v>710</v>
      </c>
      <c r="E36" s="19" t="s">
        <v>1066</v>
      </c>
      <c r="F36" s="58">
        <v>8</v>
      </c>
      <c r="G36" s="43">
        <v>22</v>
      </c>
      <c r="H36" s="44">
        <v>10</v>
      </c>
      <c r="I36" s="44" t="s">
        <v>38</v>
      </c>
      <c r="J36" s="43">
        <v>121</v>
      </c>
      <c r="K36" s="44">
        <v>27</v>
      </c>
      <c r="L36" s="44" t="s">
        <v>122</v>
      </c>
      <c r="M36" s="43" t="s">
        <v>117</v>
      </c>
      <c r="N36" s="45">
        <v>3</v>
      </c>
      <c r="O36" s="45">
        <v>5</v>
      </c>
      <c r="P36" s="45">
        <v>3</v>
      </c>
      <c r="Q36" s="45">
        <v>2</v>
      </c>
      <c r="R36" s="46">
        <v>4.16</v>
      </c>
      <c r="S36" s="46">
        <v>4.4800000000000004</v>
      </c>
      <c r="T36" s="46">
        <v>304</v>
      </c>
      <c r="U36" s="47">
        <v>3178</v>
      </c>
      <c r="V36" s="23">
        <v>24</v>
      </c>
      <c r="W36" s="38">
        <v>0</v>
      </c>
      <c r="X36" s="38">
        <v>24</v>
      </c>
      <c r="Y36" s="38">
        <v>0</v>
      </c>
      <c r="Z36" s="38">
        <v>0</v>
      </c>
      <c r="AA36" s="44">
        <v>31.2</v>
      </c>
      <c r="AB36" s="44">
        <f t="shared" ref="AB36" si="24">AA36/24</f>
        <v>1.3</v>
      </c>
      <c r="AC36" s="52" t="s">
        <v>131</v>
      </c>
      <c r="AD36" s="40" t="s">
        <v>1063</v>
      </c>
      <c r="AE36" s="40"/>
      <c r="AF36" s="41" t="s">
        <v>1064</v>
      </c>
      <c r="AG36" s="40" t="s">
        <v>1065</v>
      </c>
      <c r="AH36" s="38">
        <v>0</v>
      </c>
      <c r="AI36" s="38">
        <v>4.5999999999999996</v>
      </c>
      <c r="AJ36" s="38">
        <v>0</v>
      </c>
      <c r="AK36" s="38">
        <v>0</v>
      </c>
      <c r="AL36" s="24">
        <f t="shared" si="6"/>
        <v>4.5999999999999996</v>
      </c>
      <c r="AM36" s="12"/>
      <c r="AN36" s="12"/>
      <c r="AO36" s="12"/>
      <c r="AP36" s="12"/>
      <c r="AQ36" s="55">
        <f t="shared" si="15"/>
        <v>408.4</v>
      </c>
      <c r="AR36" s="38"/>
      <c r="AS36" s="38">
        <v>262</v>
      </c>
      <c r="AT36" s="26"/>
      <c r="AU36" s="49"/>
      <c r="AV36" s="136"/>
      <c r="AW36" s="137"/>
    </row>
    <row r="37" spans="1:49" ht="18" customHeight="1">
      <c r="A37" s="18" t="s">
        <v>134</v>
      </c>
      <c r="B37" s="18" t="s">
        <v>1046</v>
      </c>
      <c r="C37" s="19" t="s">
        <v>710</v>
      </c>
      <c r="D37" s="19" t="s">
        <v>710</v>
      </c>
      <c r="E37" s="19" t="s">
        <v>1067</v>
      </c>
      <c r="F37" s="58">
        <v>8</v>
      </c>
      <c r="G37" s="43">
        <v>22</v>
      </c>
      <c r="H37" s="44">
        <v>58.3</v>
      </c>
      <c r="I37" s="44" t="s">
        <v>38</v>
      </c>
      <c r="J37" s="43">
        <v>120</v>
      </c>
      <c r="K37" s="44">
        <v>10.4</v>
      </c>
      <c r="L37" s="44" t="s">
        <v>122</v>
      </c>
      <c r="M37" s="43" t="s">
        <v>117</v>
      </c>
      <c r="N37" s="45">
        <v>14</v>
      </c>
      <c r="O37" s="45">
        <v>3</v>
      </c>
      <c r="P37" s="45">
        <v>1</v>
      </c>
      <c r="Q37" s="45">
        <v>1</v>
      </c>
      <c r="R37" s="46">
        <v>4.16</v>
      </c>
      <c r="S37" s="46">
        <v>4.4800000000000004</v>
      </c>
      <c r="T37" s="46">
        <v>304</v>
      </c>
      <c r="U37" s="47">
        <v>3178</v>
      </c>
      <c r="V37" s="23">
        <v>24</v>
      </c>
      <c r="W37" s="38">
        <v>17</v>
      </c>
      <c r="X37" s="38">
        <v>5.6</v>
      </c>
      <c r="Y37" s="38">
        <v>1.4</v>
      </c>
      <c r="Z37" s="38">
        <v>0</v>
      </c>
      <c r="AA37" s="44">
        <v>131.19999999999999</v>
      </c>
      <c r="AB37" s="44">
        <f t="shared" ref="AB37" si="25">AA37/24</f>
        <v>5.4666666666666659</v>
      </c>
      <c r="AC37" s="52" t="s">
        <v>119</v>
      </c>
      <c r="AD37" s="40">
        <v>296</v>
      </c>
      <c r="AE37" s="40"/>
      <c r="AF37" s="41">
        <v>0</v>
      </c>
      <c r="AG37" s="40">
        <v>0</v>
      </c>
      <c r="AH37" s="38">
        <v>3.7</v>
      </c>
      <c r="AI37" s="38">
        <v>1.3</v>
      </c>
      <c r="AJ37" s="38">
        <v>0.2</v>
      </c>
      <c r="AK37" s="38">
        <v>0</v>
      </c>
      <c r="AL37" s="24">
        <f t="shared" si="6"/>
        <v>5.2</v>
      </c>
      <c r="AM37" s="12"/>
      <c r="AN37" s="12"/>
      <c r="AO37" s="12"/>
      <c r="AP37" s="12"/>
      <c r="AQ37" s="55">
        <f t="shared" si="15"/>
        <v>403.2</v>
      </c>
      <c r="AR37" s="38"/>
      <c r="AS37" s="38">
        <v>252</v>
      </c>
      <c r="AT37" s="26"/>
      <c r="AU37" s="49"/>
      <c r="AV37" s="136"/>
      <c r="AW37" s="137"/>
    </row>
    <row r="38" spans="1:49" ht="19.399999999999999" customHeight="1">
      <c r="A38" s="18" t="s">
        <v>134</v>
      </c>
      <c r="B38" s="18" t="s">
        <v>1046</v>
      </c>
      <c r="C38" s="19" t="s">
        <v>710</v>
      </c>
      <c r="D38" s="19" t="s">
        <v>710</v>
      </c>
      <c r="E38" s="19" t="s">
        <v>1068</v>
      </c>
      <c r="F38" s="58">
        <v>8</v>
      </c>
      <c r="G38" s="43">
        <v>22</v>
      </c>
      <c r="H38" s="44">
        <v>58.3</v>
      </c>
      <c r="I38" s="44" t="s">
        <v>38</v>
      </c>
      <c r="J38" s="43">
        <v>120</v>
      </c>
      <c r="K38" s="44">
        <v>10.4</v>
      </c>
      <c r="L38" s="44" t="s">
        <v>122</v>
      </c>
      <c r="M38" s="43" t="s">
        <v>115</v>
      </c>
      <c r="N38" s="45">
        <v>14</v>
      </c>
      <c r="O38" s="45">
        <v>3</v>
      </c>
      <c r="P38" s="45">
        <v>1</v>
      </c>
      <c r="Q38" s="45">
        <v>1</v>
      </c>
      <c r="R38" s="46">
        <v>4.16</v>
      </c>
      <c r="S38" s="46">
        <v>4.4800000000000004</v>
      </c>
      <c r="T38" s="46">
        <v>304</v>
      </c>
      <c r="U38" s="47">
        <v>3178</v>
      </c>
      <c r="V38" s="23">
        <v>24</v>
      </c>
      <c r="W38" s="38">
        <v>0</v>
      </c>
      <c r="X38" s="38">
        <v>0</v>
      </c>
      <c r="Y38" s="38">
        <v>24</v>
      </c>
      <c r="Z38" s="38">
        <v>0</v>
      </c>
      <c r="AA38" s="44">
        <v>0</v>
      </c>
      <c r="AB38" s="44">
        <f t="shared" ref="AB38" si="26">AA38/24</f>
        <v>0</v>
      </c>
      <c r="AC38" s="52" t="s">
        <v>113</v>
      </c>
      <c r="AD38" s="40">
        <v>251</v>
      </c>
      <c r="AE38" s="40"/>
      <c r="AF38" s="41">
        <v>0</v>
      </c>
      <c r="AG38" s="40">
        <v>0</v>
      </c>
      <c r="AH38" s="38">
        <v>0</v>
      </c>
      <c r="AI38" s="38">
        <v>0</v>
      </c>
      <c r="AJ38" s="38">
        <v>1.5</v>
      </c>
      <c r="AK38" s="38">
        <v>0</v>
      </c>
      <c r="AL38" s="24">
        <f t="shared" si="6"/>
        <v>1.5</v>
      </c>
      <c r="AM38" s="12"/>
      <c r="AN38" s="12"/>
      <c r="AO38" s="12"/>
      <c r="AP38" s="12"/>
      <c r="AQ38" s="55">
        <f t="shared" si="15"/>
        <v>401.7</v>
      </c>
      <c r="AR38" s="38"/>
      <c r="AS38" s="38">
        <v>248</v>
      </c>
      <c r="AT38" s="26"/>
      <c r="AU38" s="49"/>
      <c r="AV38" s="136"/>
      <c r="AW38" s="137"/>
    </row>
    <row r="39" spans="1:49" ht="19.399999999999999" customHeight="1">
      <c r="A39" s="18" t="s">
        <v>134</v>
      </c>
      <c r="B39" s="18" t="s">
        <v>1046</v>
      </c>
      <c r="C39" s="19" t="s">
        <v>710</v>
      </c>
      <c r="D39" s="19" t="s">
        <v>710</v>
      </c>
      <c r="E39" s="19" t="s">
        <v>1069</v>
      </c>
      <c r="F39" s="58">
        <v>8</v>
      </c>
      <c r="G39" s="43">
        <v>22</v>
      </c>
      <c r="H39" s="44">
        <v>58.3</v>
      </c>
      <c r="I39" s="44" t="s">
        <v>38</v>
      </c>
      <c r="J39" s="43">
        <v>120</v>
      </c>
      <c r="K39" s="44">
        <v>10.4</v>
      </c>
      <c r="L39" s="44" t="s">
        <v>122</v>
      </c>
      <c r="M39" s="43" t="s">
        <v>117</v>
      </c>
      <c r="N39" s="45">
        <v>14</v>
      </c>
      <c r="O39" s="45">
        <v>3</v>
      </c>
      <c r="P39" s="45">
        <v>1</v>
      </c>
      <c r="Q39" s="45">
        <v>1</v>
      </c>
      <c r="R39" s="46">
        <v>4.16</v>
      </c>
      <c r="S39" s="46">
        <v>4.4800000000000004</v>
      </c>
      <c r="T39" s="46">
        <v>304</v>
      </c>
      <c r="U39" s="47">
        <v>3178</v>
      </c>
      <c r="V39" s="23">
        <v>24</v>
      </c>
      <c r="W39" s="38">
        <v>0</v>
      </c>
      <c r="X39" s="38">
        <v>0</v>
      </c>
      <c r="Y39" s="38">
        <v>24</v>
      </c>
      <c r="Z39" s="38">
        <v>0</v>
      </c>
      <c r="AA39" s="44">
        <v>0</v>
      </c>
      <c r="AB39" s="44">
        <f t="shared" ref="AB39" si="27">AA39/24</f>
        <v>0</v>
      </c>
      <c r="AC39" s="52" t="s">
        <v>113</v>
      </c>
      <c r="AD39" s="40">
        <v>180</v>
      </c>
      <c r="AE39" s="40"/>
      <c r="AF39" s="41">
        <v>0</v>
      </c>
      <c r="AG39" s="40">
        <v>0</v>
      </c>
      <c r="AH39" s="38">
        <v>0</v>
      </c>
      <c r="AI39" s="38">
        <v>0</v>
      </c>
      <c r="AJ39" s="38">
        <v>1.5</v>
      </c>
      <c r="AK39" s="38">
        <v>0</v>
      </c>
      <c r="AL39" s="24">
        <f t="shared" si="6"/>
        <v>1.5</v>
      </c>
      <c r="AM39" s="12"/>
      <c r="AN39" s="12"/>
      <c r="AO39" s="12"/>
      <c r="AP39" s="12"/>
      <c r="AQ39" s="55">
        <f t="shared" si="15"/>
        <v>400.2</v>
      </c>
      <c r="AR39" s="38"/>
      <c r="AS39" s="38">
        <v>241</v>
      </c>
      <c r="AT39" s="26"/>
      <c r="AU39" s="49"/>
      <c r="AV39" s="136"/>
      <c r="AW39" s="137"/>
    </row>
    <row r="40" spans="1:49" ht="19.399999999999999" customHeight="1">
      <c r="A40" s="18" t="s">
        <v>134</v>
      </c>
      <c r="B40" s="18" t="s">
        <v>1073</v>
      </c>
      <c r="C40" s="19" t="s">
        <v>710</v>
      </c>
      <c r="D40" s="19" t="s">
        <v>710</v>
      </c>
      <c r="E40" s="19" t="s">
        <v>1074</v>
      </c>
      <c r="F40" s="58">
        <v>8</v>
      </c>
      <c r="G40" s="43">
        <v>23</v>
      </c>
      <c r="H40" s="44">
        <v>5.6</v>
      </c>
      <c r="I40" s="44" t="s">
        <v>38</v>
      </c>
      <c r="J40" s="43">
        <v>119</v>
      </c>
      <c r="K40" s="44">
        <v>56.7</v>
      </c>
      <c r="L40" s="44" t="s">
        <v>122</v>
      </c>
      <c r="M40" s="43" t="s">
        <v>115</v>
      </c>
      <c r="N40" s="45">
        <v>0</v>
      </c>
      <c r="O40" s="45">
        <v>4</v>
      </c>
      <c r="P40" s="45">
        <v>3</v>
      </c>
      <c r="Q40" s="45">
        <v>2</v>
      </c>
      <c r="R40" s="46">
        <v>4</v>
      </c>
      <c r="S40" s="46">
        <v>4.26</v>
      </c>
      <c r="T40" s="46">
        <v>318</v>
      </c>
      <c r="U40" s="47">
        <v>3090</v>
      </c>
      <c r="V40" s="23">
        <v>24</v>
      </c>
      <c r="W40" s="38">
        <v>1.4</v>
      </c>
      <c r="X40" s="38">
        <v>0.5</v>
      </c>
      <c r="Y40" s="38">
        <v>22.1</v>
      </c>
      <c r="Z40" s="38">
        <v>0</v>
      </c>
      <c r="AA40" s="44">
        <v>16.600000000000001</v>
      </c>
      <c r="AB40" s="44">
        <f t="shared" ref="AB40" si="28">AA40/24</f>
        <v>0.69166666666666676</v>
      </c>
      <c r="AC40" s="52" t="s">
        <v>130</v>
      </c>
      <c r="AD40" s="40" t="s">
        <v>1070</v>
      </c>
      <c r="AE40" s="40"/>
      <c r="AF40" s="41" t="s">
        <v>1071</v>
      </c>
      <c r="AG40" s="40" t="s">
        <v>1072</v>
      </c>
      <c r="AH40" s="38">
        <v>0.2</v>
      </c>
      <c r="AI40" s="38">
        <v>0.1</v>
      </c>
      <c r="AJ40" s="38">
        <v>1.1000000000000001</v>
      </c>
      <c r="AK40" s="38">
        <v>0</v>
      </c>
      <c r="AL40" s="24">
        <f t="shared" si="6"/>
        <v>1.4000000000000001</v>
      </c>
      <c r="AM40" s="12"/>
      <c r="AN40" s="12"/>
      <c r="AO40" s="12"/>
      <c r="AP40" s="12"/>
      <c r="AQ40" s="55">
        <f t="shared" si="15"/>
        <v>398.8</v>
      </c>
      <c r="AR40" s="38"/>
      <c r="AS40" s="38">
        <v>237</v>
      </c>
      <c r="AT40" s="26"/>
      <c r="AU40" s="49"/>
      <c r="AV40" s="136"/>
      <c r="AW40" s="137"/>
    </row>
    <row r="41" spans="1:49" ht="19.399999999999999" customHeight="1">
      <c r="A41" s="18" t="s">
        <v>134</v>
      </c>
      <c r="B41" s="18" t="s">
        <v>1073</v>
      </c>
      <c r="C41" s="19" t="s">
        <v>710</v>
      </c>
      <c r="D41" s="19" t="s">
        <v>710</v>
      </c>
      <c r="E41" s="19" t="s">
        <v>1077</v>
      </c>
      <c r="F41" s="58">
        <v>8</v>
      </c>
      <c r="G41" s="43">
        <v>25</v>
      </c>
      <c r="H41" s="44">
        <v>11.1</v>
      </c>
      <c r="I41" s="44" t="s">
        <v>38</v>
      </c>
      <c r="J41" s="43">
        <v>122</v>
      </c>
      <c r="K41" s="44">
        <v>18.600000000000001</v>
      </c>
      <c r="L41" s="44" t="s">
        <v>122</v>
      </c>
      <c r="M41" s="43" t="s">
        <v>115</v>
      </c>
      <c r="N41" s="45">
        <v>2</v>
      </c>
      <c r="O41" s="45">
        <v>4</v>
      </c>
      <c r="P41" s="45">
        <v>3</v>
      </c>
      <c r="Q41" s="45">
        <v>1</v>
      </c>
      <c r="R41" s="46">
        <v>4</v>
      </c>
      <c r="S41" s="46">
        <v>4.26</v>
      </c>
      <c r="T41" s="46">
        <v>318</v>
      </c>
      <c r="U41" s="47">
        <v>3090</v>
      </c>
      <c r="V41" s="23">
        <v>24</v>
      </c>
      <c r="W41" s="38">
        <v>24</v>
      </c>
      <c r="X41" s="38">
        <v>0</v>
      </c>
      <c r="Y41" s="38">
        <v>0</v>
      </c>
      <c r="Z41" s="38">
        <v>0</v>
      </c>
      <c r="AA41" s="44">
        <v>217.9</v>
      </c>
      <c r="AB41" s="44">
        <f t="shared" ref="AB41" si="29">AA41/24</f>
        <v>9.0791666666666675</v>
      </c>
      <c r="AC41" s="52" t="s">
        <v>130</v>
      </c>
      <c r="AD41" s="40" t="s">
        <v>1075</v>
      </c>
      <c r="AE41" s="40"/>
      <c r="AF41" s="41" t="s">
        <v>1076</v>
      </c>
      <c r="AG41" s="40" t="s">
        <v>474</v>
      </c>
      <c r="AH41" s="38">
        <v>5.5</v>
      </c>
      <c r="AI41" s="38">
        <v>0</v>
      </c>
      <c r="AJ41" s="38">
        <v>0</v>
      </c>
      <c r="AK41" s="38">
        <v>0</v>
      </c>
      <c r="AL41" s="24">
        <f t="shared" si="6"/>
        <v>5.5</v>
      </c>
      <c r="AM41" s="12"/>
      <c r="AN41" s="12"/>
      <c r="AO41" s="12"/>
      <c r="AP41" s="12"/>
      <c r="AQ41" s="55">
        <f t="shared" si="15"/>
        <v>393.3</v>
      </c>
      <c r="AR41" s="38"/>
      <c r="AS41" s="38">
        <v>227</v>
      </c>
      <c r="AT41" s="26"/>
      <c r="AU41" s="49"/>
      <c r="AV41" s="136"/>
      <c r="AW41" s="137"/>
    </row>
    <row r="42" spans="1:49" ht="19.399999999999999" customHeight="1">
      <c r="A42" s="18" t="s">
        <v>134</v>
      </c>
      <c r="B42" s="18" t="s">
        <v>1073</v>
      </c>
      <c r="C42" s="19" t="s">
        <v>710</v>
      </c>
      <c r="D42" s="19" t="s">
        <v>710</v>
      </c>
      <c r="E42" s="19" t="s">
        <v>1080</v>
      </c>
      <c r="F42" s="58">
        <v>8</v>
      </c>
      <c r="G42" s="43">
        <v>24</v>
      </c>
      <c r="H42" s="44">
        <v>49.3</v>
      </c>
      <c r="I42" s="44" t="s">
        <v>38</v>
      </c>
      <c r="J42" s="43">
        <v>122</v>
      </c>
      <c r="K42" s="44">
        <v>3.8</v>
      </c>
      <c r="L42" s="44" t="s">
        <v>122</v>
      </c>
      <c r="M42" s="43" t="s">
        <v>117</v>
      </c>
      <c r="N42" s="45">
        <v>2</v>
      </c>
      <c r="O42" s="45">
        <v>6</v>
      </c>
      <c r="P42" s="45">
        <v>4</v>
      </c>
      <c r="Q42" s="45">
        <v>2</v>
      </c>
      <c r="R42" s="46">
        <v>4</v>
      </c>
      <c r="S42" s="46">
        <v>4.26</v>
      </c>
      <c r="T42" s="46">
        <v>318</v>
      </c>
      <c r="U42" s="47">
        <v>3090</v>
      </c>
      <c r="V42" s="23">
        <v>24</v>
      </c>
      <c r="W42" s="38">
        <v>5</v>
      </c>
      <c r="X42" s="38">
        <v>19</v>
      </c>
      <c r="Y42" s="38">
        <v>0</v>
      </c>
      <c r="Z42" s="38">
        <v>0</v>
      </c>
      <c r="AA42" s="44">
        <v>105.5</v>
      </c>
      <c r="AB42" s="44">
        <f t="shared" ref="AB42" si="30">AA42/24</f>
        <v>4.395833333333333</v>
      </c>
      <c r="AC42" s="52" t="s">
        <v>130</v>
      </c>
      <c r="AD42" s="40" t="s">
        <v>1078</v>
      </c>
      <c r="AE42" s="40"/>
      <c r="AF42" s="40" t="s">
        <v>1079</v>
      </c>
      <c r="AG42" s="40" t="s">
        <v>432</v>
      </c>
      <c r="AH42" s="38">
        <v>1</v>
      </c>
      <c r="AI42" s="38">
        <v>4</v>
      </c>
      <c r="AJ42" s="38">
        <v>0</v>
      </c>
      <c r="AK42" s="38">
        <v>0</v>
      </c>
      <c r="AL42" s="24">
        <f t="shared" si="6"/>
        <v>5</v>
      </c>
      <c r="AM42" s="12"/>
      <c r="AN42" s="12"/>
      <c r="AO42" s="12"/>
      <c r="AP42" s="12"/>
      <c r="AQ42" s="55">
        <f t="shared" si="15"/>
        <v>388.3</v>
      </c>
      <c r="AR42" s="38"/>
      <c r="AS42" s="38">
        <v>219</v>
      </c>
      <c r="AT42" s="26"/>
      <c r="AU42" s="49"/>
      <c r="AV42" s="136"/>
      <c r="AW42" s="137"/>
    </row>
    <row r="43" spans="1:49" ht="19.399999999999999" customHeight="1">
      <c r="A43" s="18" t="s">
        <v>134</v>
      </c>
      <c r="B43" s="18" t="s">
        <v>1073</v>
      </c>
      <c r="C43" s="19" t="s">
        <v>710</v>
      </c>
      <c r="D43" s="19" t="s">
        <v>710</v>
      </c>
      <c r="E43" s="19" t="s">
        <v>1083</v>
      </c>
      <c r="F43" s="58">
        <v>8</v>
      </c>
      <c r="G43" s="43">
        <v>24</v>
      </c>
      <c r="H43" s="44">
        <v>49</v>
      </c>
      <c r="I43" s="44" t="s">
        <v>38</v>
      </c>
      <c r="J43" s="43">
        <v>121</v>
      </c>
      <c r="K43" s="44">
        <v>53.1</v>
      </c>
      <c r="L43" s="44" t="s">
        <v>122</v>
      </c>
      <c r="M43" s="43" t="s">
        <v>117</v>
      </c>
      <c r="N43" s="45">
        <v>2</v>
      </c>
      <c r="O43" s="45">
        <v>4</v>
      </c>
      <c r="P43" s="45">
        <v>3</v>
      </c>
      <c r="Q43" s="45">
        <v>2</v>
      </c>
      <c r="R43" s="46">
        <v>4</v>
      </c>
      <c r="S43" s="46">
        <v>4.26</v>
      </c>
      <c r="T43" s="46">
        <v>318</v>
      </c>
      <c r="U43" s="47">
        <v>3090</v>
      </c>
      <c r="V43" s="23">
        <v>24</v>
      </c>
      <c r="W43" s="38">
        <v>1.8</v>
      </c>
      <c r="X43" s="38">
        <v>22.2</v>
      </c>
      <c r="Y43" s="38">
        <v>0</v>
      </c>
      <c r="Z43" s="38">
        <v>0</v>
      </c>
      <c r="AA43" s="44">
        <v>15.9</v>
      </c>
      <c r="AB43" s="44">
        <f t="shared" ref="AB43" si="31">AA43/24</f>
        <v>0.66249999999999998</v>
      </c>
      <c r="AC43" s="52" t="s">
        <v>130</v>
      </c>
      <c r="AD43" s="40" t="s">
        <v>1081</v>
      </c>
      <c r="AE43" s="40"/>
      <c r="AF43" s="40" t="s">
        <v>1082</v>
      </c>
      <c r="AG43" s="40" t="s">
        <v>304</v>
      </c>
      <c r="AH43" s="38">
        <v>0.5</v>
      </c>
      <c r="AI43" s="38">
        <v>3.7</v>
      </c>
      <c r="AJ43" s="38">
        <v>0</v>
      </c>
      <c r="AK43" s="38">
        <v>0</v>
      </c>
      <c r="AL43" s="24">
        <f t="shared" si="6"/>
        <v>4.2</v>
      </c>
      <c r="AM43" s="12"/>
      <c r="AN43" s="12"/>
      <c r="AO43" s="12"/>
      <c r="AP43" s="12"/>
      <c r="AQ43" s="55">
        <f t="shared" si="15"/>
        <v>384.1</v>
      </c>
      <c r="AR43" s="38"/>
      <c r="AS43" s="38">
        <v>212</v>
      </c>
      <c r="AT43" s="26"/>
      <c r="AU43" s="49"/>
      <c r="AV43" s="136"/>
      <c r="AW43" s="137"/>
    </row>
    <row r="44" spans="1:49" ht="19.399999999999999" customHeight="1">
      <c r="A44" s="18" t="s">
        <v>134</v>
      </c>
      <c r="B44" s="18" t="s">
        <v>1073</v>
      </c>
      <c r="C44" s="19" t="s">
        <v>710</v>
      </c>
      <c r="D44" s="19" t="s">
        <v>710</v>
      </c>
      <c r="E44" s="19" t="s">
        <v>1086</v>
      </c>
      <c r="F44" s="58">
        <v>8</v>
      </c>
      <c r="G44" s="43">
        <v>25</v>
      </c>
      <c r="H44" s="44">
        <v>3.2</v>
      </c>
      <c r="I44" s="44" t="s">
        <v>38</v>
      </c>
      <c r="J44" s="43">
        <v>122</v>
      </c>
      <c r="K44" s="44">
        <v>41.1</v>
      </c>
      <c r="L44" s="44" t="s">
        <v>122</v>
      </c>
      <c r="M44" s="43" t="s">
        <v>117</v>
      </c>
      <c r="N44" s="45">
        <v>6</v>
      </c>
      <c r="O44" s="45">
        <v>4</v>
      </c>
      <c r="P44" s="45">
        <v>3</v>
      </c>
      <c r="Q44" s="45">
        <v>3</v>
      </c>
      <c r="R44" s="46">
        <v>4</v>
      </c>
      <c r="S44" s="46">
        <v>4.26</v>
      </c>
      <c r="T44" s="46">
        <v>318</v>
      </c>
      <c r="U44" s="47">
        <v>3090</v>
      </c>
      <c r="V44" s="23">
        <v>24</v>
      </c>
      <c r="W44" s="38">
        <v>6.5</v>
      </c>
      <c r="X44" s="38">
        <v>17.5</v>
      </c>
      <c r="Y44" s="38">
        <v>0</v>
      </c>
      <c r="Z44" s="38">
        <v>0</v>
      </c>
      <c r="AA44" s="44">
        <v>58.4</v>
      </c>
      <c r="AB44" s="44">
        <f t="shared" ref="AB44" si="32">AA44/24</f>
        <v>2.4333333333333331</v>
      </c>
      <c r="AC44" s="52" t="s">
        <v>130</v>
      </c>
      <c r="AD44" s="40" t="s">
        <v>1084</v>
      </c>
      <c r="AE44" s="40"/>
      <c r="AF44" s="40" t="s">
        <v>205</v>
      </c>
      <c r="AG44" s="40" t="s">
        <v>1085</v>
      </c>
      <c r="AH44" s="38">
        <v>2</v>
      </c>
      <c r="AI44" s="38">
        <v>2.7</v>
      </c>
      <c r="AJ44" s="38">
        <v>0</v>
      </c>
      <c r="AK44" s="38">
        <v>0</v>
      </c>
      <c r="AL44" s="24">
        <f t="shared" si="6"/>
        <v>4.7</v>
      </c>
      <c r="AM44" s="12"/>
      <c r="AN44" s="12"/>
      <c r="AO44" s="12"/>
      <c r="AP44" s="12"/>
      <c r="AQ44" s="55">
        <f t="shared" si="15"/>
        <v>379.40000000000003</v>
      </c>
      <c r="AR44" s="38"/>
      <c r="AS44" s="38">
        <v>205</v>
      </c>
      <c r="AT44" s="26"/>
      <c r="AU44" s="49"/>
      <c r="AV44" s="136"/>
      <c r="AW44" s="137"/>
    </row>
    <row r="45" spans="1:49" ht="19.399999999999999" customHeight="1">
      <c r="A45" s="18" t="s">
        <v>134</v>
      </c>
      <c r="B45" s="18" t="s">
        <v>1073</v>
      </c>
      <c r="C45" s="19" t="s">
        <v>710</v>
      </c>
      <c r="D45" s="19" t="s">
        <v>710</v>
      </c>
      <c r="E45" s="19" t="s">
        <v>1090</v>
      </c>
      <c r="F45" s="58">
        <v>8</v>
      </c>
      <c r="G45" s="43">
        <v>25</v>
      </c>
      <c r="H45" s="44">
        <v>11.2</v>
      </c>
      <c r="I45" s="44" t="s">
        <v>38</v>
      </c>
      <c r="J45" s="43">
        <v>122</v>
      </c>
      <c r="K45" s="44">
        <v>13.1</v>
      </c>
      <c r="L45" s="44" t="s">
        <v>122</v>
      </c>
      <c r="M45" s="43" t="s">
        <v>117</v>
      </c>
      <c r="N45" s="45">
        <v>6</v>
      </c>
      <c r="O45" s="45">
        <v>4</v>
      </c>
      <c r="P45" s="45">
        <v>3</v>
      </c>
      <c r="Q45" s="45">
        <v>3</v>
      </c>
      <c r="R45" s="46">
        <v>4</v>
      </c>
      <c r="S45" s="46">
        <v>4.26</v>
      </c>
      <c r="T45" s="46">
        <v>318</v>
      </c>
      <c r="U45" s="47">
        <v>3090</v>
      </c>
      <c r="V45" s="23">
        <v>24</v>
      </c>
      <c r="W45" s="38">
        <v>13</v>
      </c>
      <c r="X45" s="38">
        <v>11</v>
      </c>
      <c r="Y45" s="38">
        <v>0</v>
      </c>
      <c r="Z45" s="38">
        <v>0</v>
      </c>
      <c r="AA45" s="44">
        <v>98.6</v>
      </c>
      <c r="AB45" s="44">
        <f t="shared" ref="AB45" si="33">AA45/24</f>
        <v>4.1083333333333334</v>
      </c>
      <c r="AC45" s="52" t="s">
        <v>130</v>
      </c>
      <c r="AD45" s="40" t="s">
        <v>1087</v>
      </c>
      <c r="AE45" s="40"/>
      <c r="AF45" s="40" t="s">
        <v>1088</v>
      </c>
      <c r="AG45" s="40" t="s">
        <v>1089</v>
      </c>
      <c r="AH45" s="38">
        <v>2.8</v>
      </c>
      <c r="AI45" s="38">
        <v>2</v>
      </c>
      <c r="AJ45" s="38">
        <v>0</v>
      </c>
      <c r="AK45" s="38">
        <v>0</v>
      </c>
      <c r="AL45" s="24">
        <f t="shared" si="6"/>
        <v>4.8</v>
      </c>
      <c r="AM45" s="12"/>
      <c r="AN45" s="12"/>
      <c r="AO45" s="12"/>
      <c r="AP45" s="12"/>
      <c r="AQ45" s="55">
        <f t="shared" si="15"/>
        <v>374.6</v>
      </c>
      <c r="AR45" s="38"/>
      <c r="AS45" s="38">
        <v>198</v>
      </c>
      <c r="AT45" s="26"/>
      <c r="AU45" s="49"/>
      <c r="AV45" s="136"/>
      <c r="AW45" s="137"/>
    </row>
    <row r="46" spans="1:49" ht="19.399999999999999" customHeight="1">
      <c r="A46" s="18" t="s">
        <v>134</v>
      </c>
      <c r="B46" s="18" t="s">
        <v>1073</v>
      </c>
      <c r="C46" s="19" t="s">
        <v>710</v>
      </c>
      <c r="D46" s="19" t="s">
        <v>710</v>
      </c>
      <c r="E46" s="19" t="s">
        <v>1093</v>
      </c>
      <c r="F46" s="58">
        <v>8</v>
      </c>
      <c r="G46" s="43">
        <v>25</v>
      </c>
      <c r="H46" s="44">
        <v>11.8</v>
      </c>
      <c r="I46" s="44" t="s">
        <v>38</v>
      </c>
      <c r="J46" s="43">
        <v>122</v>
      </c>
      <c r="K46" s="44">
        <v>35</v>
      </c>
      <c r="L46" s="44" t="s">
        <v>122</v>
      </c>
      <c r="M46" s="43" t="s">
        <v>117</v>
      </c>
      <c r="N46" s="45">
        <v>6</v>
      </c>
      <c r="O46" s="45">
        <v>3</v>
      </c>
      <c r="P46" s="45">
        <v>3</v>
      </c>
      <c r="Q46" s="45">
        <v>2</v>
      </c>
      <c r="R46" s="46">
        <v>4</v>
      </c>
      <c r="S46" s="46">
        <v>4.26</v>
      </c>
      <c r="T46" s="46">
        <v>318</v>
      </c>
      <c r="U46" s="47">
        <v>3090</v>
      </c>
      <c r="V46" s="23">
        <v>24</v>
      </c>
      <c r="W46" s="38">
        <v>0</v>
      </c>
      <c r="X46" s="38">
        <v>24</v>
      </c>
      <c r="Y46" s="38">
        <v>0</v>
      </c>
      <c r="Z46" s="38">
        <v>0</v>
      </c>
      <c r="AA46" s="44">
        <v>96.6</v>
      </c>
      <c r="AB46" s="44">
        <f t="shared" ref="AB46" si="34">AA46/24</f>
        <v>4.0249999999999995</v>
      </c>
      <c r="AC46" s="52" t="s">
        <v>130</v>
      </c>
      <c r="AD46" s="40" t="s">
        <v>1091</v>
      </c>
      <c r="AE46" s="40"/>
      <c r="AF46" s="40" t="s">
        <v>1079</v>
      </c>
      <c r="AG46" s="40" t="s">
        <v>1092</v>
      </c>
      <c r="AH46" s="38">
        <v>0</v>
      </c>
      <c r="AI46" s="38">
        <v>5</v>
      </c>
      <c r="AJ46" s="38">
        <v>0</v>
      </c>
      <c r="AK46" s="38">
        <v>0</v>
      </c>
      <c r="AL46" s="24">
        <f t="shared" si="6"/>
        <v>5</v>
      </c>
      <c r="AM46" s="12"/>
      <c r="AN46" s="12"/>
      <c r="AO46" s="12"/>
      <c r="AP46" s="12"/>
      <c r="AQ46" s="55">
        <f t="shared" si="15"/>
        <v>369.6</v>
      </c>
      <c r="AR46" s="38"/>
      <c r="AS46" s="38">
        <v>192</v>
      </c>
      <c r="AT46" s="26"/>
      <c r="AU46" s="49"/>
      <c r="AV46" s="136"/>
      <c r="AW46" s="137"/>
    </row>
    <row r="47" spans="1:49" ht="19.399999999999999" customHeight="1">
      <c r="A47" s="18" t="s">
        <v>134</v>
      </c>
      <c r="B47" s="18" t="s">
        <v>1073</v>
      </c>
      <c r="C47" s="19" t="s">
        <v>710</v>
      </c>
      <c r="D47" s="19" t="s">
        <v>710</v>
      </c>
      <c r="E47" s="19" t="s">
        <v>1097</v>
      </c>
      <c r="F47" s="58">
        <v>8</v>
      </c>
      <c r="G47" s="43">
        <v>25</v>
      </c>
      <c r="H47" s="44">
        <v>10.4</v>
      </c>
      <c r="I47" s="44" t="s">
        <v>38</v>
      </c>
      <c r="J47" s="43">
        <v>122</v>
      </c>
      <c r="K47" s="44">
        <v>36.299999999999997</v>
      </c>
      <c r="L47" s="44" t="s">
        <v>122</v>
      </c>
      <c r="M47" s="43" t="s">
        <v>117</v>
      </c>
      <c r="N47" s="45">
        <v>8</v>
      </c>
      <c r="O47" s="45">
        <v>3</v>
      </c>
      <c r="P47" s="45">
        <v>3</v>
      </c>
      <c r="Q47" s="45">
        <v>2</v>
      </c>
      <c r="R47" s="46">
        <v>4</v>
      </c>
      <c r="S47" s="46">
        <v>4.26</v>
      </c>
      <c r="T47" s="46">
        <v>318</v>
      </c>
      <c r="U47" s="47">
        <v>3090</v>
      </c>
      <c r="V47" s="23">
        <v>24</v>
      </c>
      <c r="W47" s="38">
        <v>0</v>
      </c>
      <c r="X47" s="38">
        <v>24</v>
      </c>
      <c r="Y47" s="38">
        <v>0</v>
      </c>
      <c r="Z47" s="38">
        <v>0</v>
      </c>
      <c r="AA47" s="44">
        <v>85.1</v>
      </c>
      <c r="AB47" s="44">
        <f t="shared" ref="AB47" si="35">AA47/24</f>
        <v>3.5458333333333329</v>
      </c>
      <c r="AC47" s="52" t="s">
        <v>130</v>
      </c>
      <c r="AD47" s="40" t="s">
        <v>1094</v>
      </c>
      <c r="AE47" s="40"/>
      <c r="AF47" s="40" t="s">
        <v>1095</v>
      </c>
      <c r="AG47" s="40" t="s">
        <v>1096</v>
      </c>
      <c r="AH47" s="38">
        <v>0</v>
      </c>
      <c r="AI47" s="38">
        <v>4.8</v>
      </c>
      <c r="AJ47" s="38">
        <v>0</v>
      </c>
      <c r="AK47" s="38">
        <v>0</v>
      </c>
      <c r="AL47" s="24">
        <f t="shared" si="6"/>
        <v>4.8</v>
      </c>
      <c r="AM47" s="12"/>
      <c r="AN47" s="12"/>
      <c r="AO47" s="12"/>
      <c r="AP47" s="12"/>
      <c r="AQ47" s="55">
        <f t="shared" si="15"/>
        <v>364.8</v>
      </c>
      <c r="AR47" s="38"/>
      <c r="AS47" s="38">
        <v>183</v>
      </c>
      <c r="AT47" s="26"/>
      <c r="AU47" s="49"/>
      <c r="AV47" s="136"/>
      <c r="AW47" s="137"/>
    </row>
    <row r="48" spans="1:49" ht="19.399999999999999" customHeight="1">
      <c r="A48" s="18" t="s">
        <v>134</v>
      </c>
      <c r="B48" s="18" t="s">
        <v>1073</v>
      </c>
      <c r="C48" s="19" t="s">
        <v>710</v>
      </c>
      <c r="D48" s="19" t="s">
        <v>710</v>
      </c>
      <c r="E48" s="19" t="s">
        <v>1100</v>
      </c>
      <c r="F48" s="58">
        <v>8</v>
      </c>
      <c r="G48" s="43">
        <v>25</v>
      </c>
      <c r="H48" s="44">
        <v>15.6</v>
      </c>
      <c r="I48" s="44" t="s">
        <v>38</v>
      </c>
      <c r="J48" s="43">
        <v>121</v>
      </c>
      <c r="K48" s="44">
        <v>17</v>
      </c>
      <c r="L48" s="44" t="s">
        <v>122</v>
      </c>
      <c r="M48" s="43" t="s">
        <v>123</v>
      </c>
      <c r="N48" s="45">
        <v>9</v>
      </c>
      <c r="O48" s="45">
        <v>4</v>
      </c>
      <c r="P48" s="45">
        <v>3</v>
      </c>
      <c r="Q48" s="45">
        <v>2</v>
      </c>
      <c r="R48" s="46">
        <v>4</v>
      </c>
      <c r="S48" s="46">
        <v>4.26</v>
      </c>
      <c r="T48" s="46">
        <v>318</v>
      </c>
      <c r="U48" s="47">
        <v>3090</v>
      </c>
      <c r="V48" s="23">
        <v>24</v>
      </c>
      <c r="W48" s="38">
        <v>8.5</v>
      </c>
      <c r="X48" s="38">
        <v>15.5</v>
      </c>
      <c r="Y48" s="38">
        <v>0</v>
      </c>
      <c r="Z48" s="38">
        <v>0</v>
      </c>
      <c r="AA48" s="44">
        <v>115.9</v>
      </c>
      <c r="AB48" s="44">
        <f t="shared" ref="AB48:AB50" si="36">AA48/24</f>
        <v>4.8291666666666666</v>
      </c>
      <c r="AC48" s="52" t="s">
        <v>131</v>
      </c>
      <c r="AD48" s="40" t="s">
        <v>1098</v>
      </c>
      <c r="AE48" s="40"/>
      <c r="AF48" s="40" t="s">
        <v>1099</v>
      </c>
      <c r="AG48" s="40" t="s">
        <v>343</v>
      </c>
      <c r="AH48" s="38">
        <v>3</v>
      </c>
      <c r="AI48" s="38">
        <v>2.2999999999999998</v>
      </c>
      <c r="AJ48" s="38">
        <v>0</v>
      </c>
      <c r="AK48" s="38">
        <v>0</v>
      </c>
      <c r="AL48" s="24">
        <f t="shared" si="6"/>
        <v>5.3</v>
      </c>
      <c r="AM48" s="12"/>
      <c r="AN48" s="12"/>
      <c r="AO48" s="12"/>
      <c r="AP48" s="12"/>
      <c r="AQ48" s="55">
        <f t="shared" si="15"/>
        <v>359.5</v>
      </c>
      <c r="AR48" s="38"/>
      <c r="AS48" s="38">
        <v>173</v>
      </c>
      <c r="AT48" s="26"/>
      <c r="AU48" s="49"/>
      <c r="AV48" s="136"/>
      <c r="AW48" s="137"/>
    </row>
    <row r="49" spans="1:50" ht="19.399999999999999" customHeight="1">
      <c r="A49" s="18" t="s">
        <v>134</v>
      </c>
      <c r="B49" s="18" t="s">
        <v>1073</v>
      </c>
      <c r="C49" s="19" t="s">
        <v>710</v>
      </c>
      <c r="D49" s="19" t="s">
        <v>710</v>
      </c>
      <c r="E49" s="19" t="s">
        <v>1103</v>
      </c>
      <c r="F49" s="58">
        <v>8</v>
      </c>
      <c r="G49" s="43">
        <v>22</v>
      </c>
      <c r="H49" s="44">
        <v>55.4</v>
      </c>
      <c r="I49" s="44" t="s">
        <v>38</v>
      </c>
      <c r="J49" s="43">
        <v>120</v>
      </c>
      <c r="K49" s="44">
        <v>4.4000000000000004</v>
      </c>
      <c r="L49" s="44" t="s">
        <v>122</v>
      </c>
      <c r="M49" s="43" t="s">
        <v>115</v>
      </c>
      <c r="N49" s="45">
        <v>14</v>
      </c>
      <c r="O49" s="45">
        <v>4</v>
      </c>
      <c r="P49" s="45">
        <v>3</v>
      </c>
      <c r="Q49" s="45">
        <v>2</v>
      </c>
      <c r="R49" s="46">
        <v>4</v>
      </c>
      <c r="S49" s="46">
        <v>4.26</v>
      </c>
      <c r="T49" s="46">
        <v>318</v>
      </c>
      <c r="U49" s="47">
        <v>3090</v>
      </c>
      <c r="V49" s="23">
        <v>24</v>
      </c>
      <c r="W49" s="38">
        <v>22</v>
      </c>
      <c r="X49" s="38">
        <v>2</v>
      </c>
      <c r="Y49" s="38">
        <v>0</v>
      </c>
      <c r="Z49" s="38">
        <v>0</v>
      </c>
      <c r="AA49" s="44">
        <v>175.1</v>
      </c>
      <c r="AB49" s="44">
        <f t="shared" ref="AB49" si="37">AA49/24</f>
        <v>7.2958333333333334</v>
      </c>
      <c r="AC49" s="52" t="s">
        <v>131</v>
      </c>
      <c r="AD49" s="40" t="s">
        <v>1101</v>
      </c>
      <c r="AE49" s="40"/>
      <c r="AF49" s="40" t="s">
        <v>1102</v>
      </c>
      <c r="AG49" s="40" t="s">
        <v>304</v>
      </c>
      <c r="AH49" s="38">
        <v>5.9</v>
      </c>
      <c r="AI49" s="38">
        <v>0.2</v>
      </c>
      <c r="AJ49" s="38">
        <v>0</v>
      </c>
      <c r="AK49" s="38">
        <v>0</v>
      </c>
      <c r="AL49" s="24">
        <f t="shared" si="6"/>
        <v>6.1000000000000005</v>
      </c>
      <c r="AM49" s="12"/>
      <c r="AN49" s="12"/>
      <c r="AO49" s="12"/>
      <c r="AP49" s="12"/>
      <c r="AQ49" s="55">
        <f t="shared" si="15"/>
        <v>353.4</v>
      </c>
      <c r="AR49" s="38"/>
      <c r="AS49" s="38">
        <v>163</v>
      </c>
      <c r="AT49" s="26"/>
      <c r="AU49" s="49"/>
      <c r="AV49" s="136"/>
      <c r="AW49" s="137"/>
    </row>
    <row r="50" spans="1:50" ht="19.399999999999999" customHeight="1">
      <c r="A50" s="18" t="s">
        <v>134</v>
      </c>
      <c r="B50" s="18" t="s">
        <v>1073</v>
      </c>
      <c r="C50" s="19" t="s">
        <v>710</v>
      </c>
      <c r="D50" s="19" t="s">
        <v>710</v>
      </c>
      <c r="E50" s="19" t="s">
        <v>1105</v>
      </c>
      <c r="F50" s="58">
        <v>8</v>
      </c>
      <c r="G50" s="43">
        <v>22</v>
      </c>
      <c r="H50" s="44">
        <v>58.3</v>
      </c>
      <c r="I50" s="44" t="s">
        <v>38</v>
      </c>
      <c r="J50" s="43">
        <v>120</v>
      </c>
      <c r="K50" s="44">
        <v>10.4</v>
      </c>
      <c r="L50" s="44" t="s">
        <v>122</v>
      </c>
      <c r="M50" s="43" t="s">
        <v>115</v>
      </c>
      <c r="N50" s="45">
        <v>14</v>
      </c>
      <c r="O50" s="45">
        <v>3</v>
      </c>
      <c r="P50" s="45">
        <v>1</v>
      </c>
      <c r="Q50" s="45">
        <v>1</v>
      </c>
      <c r="R50" s="46">
        <v>4</v>
      </c>
      <c r="S50" s="46">
        <v>4.26</v>
      </c>
      <c r="T50" s="46">
        <v>318</v>
      </c>
      <c r="U50" s="47">
        <v>3090</v>
      </c>
      <c r="V50" s="23">
        <v>24</v>
      </c>
      <c r="W50" s="38">
        <v>0</v>
      </c>
      <c r="X50" s="38">
        <v>2.2000000000000002</v>
      </c>
      <c r="Y50" s="38">
        <v>21.8</v>
      </c>
      <c r="Z50" s="38">
        <v>0</v>
      </c>
      <c r="AA50" s="44">
        <v>6.3</v>
      </c>
      <c r="AB50" s="44">
        <f t="shared" si="36"/>
        <v>0.26250000000000001</v>
      </c>
      <c r="AC50" s="52" t="s">
        <v>119</v>
      </c>
      <c r="AD50" s="40">
        <v>213</v>
      </c>
      <c r="AE50" s="40"/>
      <c r="AF50" s="40">
        <v>0</v>
      </c>
      <c r="AG50" s="40">
        <v>0</v>
      </c>
      <c r="AH50" s="38">
        <v>0</v>
      </c>
      <c r="AI50" s="38">
        <v>0.3</v>
      </c>
      <c r="AJ50" s="38">
        <v>1.8</v>
      </c>
      <c r="AK50" s="38">
        <v>0</v>
      </c>
      <c r="AL50" s="24">
        <f t="shared" si="6"/>
        <v>2.1</v>
      </c>
      <c r="AM50" s="12"/>
      <c r="AN50" s="12"/>
      <c r="AO50" s="12"/>
      <c r="AP50" s="12"/>
      <c r="AQ50" s="55">
        <f t="shared" si="15"/>
        <v>351.29999999999995</v>
      </c>
      <c r="AR50" s="38"/>
      <c r="AS50" s="38">
        <v>290</v>
      </c>
      <c r="AT50" s="26"/>
      <c r="AU50" s="49"/>
      <c r="AV50" s="136" t="s">
        <v>1104</v>
      </c>
      <c r="AW50" s="137"/>
    </row>
    <row r="51" spans="1:50" ht="19.399999999999999" customHeight="1">
      <c r="A51" s="18" t="s">
        <v>134</v>
      </c>
      <c r="B51" s="18" t="s">
        <v>1073</v>
      </c>
      <c r="C51" s="19" t="s">
        <v>710</v>
      </c>
      <c r="D51" s="19" t="s">
        <v>710</v>
      </c>
      <c r="E51" s="19" t="s">
        <v>1106</v>
      </c>
      <c r="F51" s="58">
        <v>8</v>
      </c>
      <c r="G51" s="43">
        <v>22</v>
      </c>
      <c r="H51" s="44">
        <v>58.3</v>
      </c>
      <c r="I51" s="44" t="s">
        <v>38</v>
      </c>
      <c r="J51" s="43">
        <v>120</v>
      </c>
      <c r="K51" s="44">
        <v>10.4</v>
      </c>
      <c r="L51" s="44" t="s">
        <v>122</v>
      </c>
      <c r="M51" s="43" t="s">
        <v>115</v>
      </c>
      <c r="N51" s="45">
        <v>14</v>
      </c>
      <c r="O51" s="45">
        <v>3</v>
      </c>
      <c r="P51" s="45">
        <v>1</v>
      </c>
      <c r="Q51" s="45">
        <v>1</v>
      </c>
      <c r="R51" s="46">
        <v>4</v>
      </c>
      <c r="S51" s="46">
        <v>4.26</v>
      </c>
      <c r="T51" s="46">
        <v>318</v>
      </c>
      <c r="U51" s="47">
        <v>3090</v>
      </c>
      <c r="V51" s="23">
        <v>24</v>
      </c>
      <c r="W51" s="38">
        <v>0</v>
      </c>
      <c r="X51" s="38">
        <v>0</v>
      </c>
      <c r="Y51" s="38">
        <v>24</v>
      </c>
      <c r="Z51" s="38">
        <v>0</v>
      </c>
      <c r="AA51" s="44">
        <v>0</v>
      </c>
      <c r="AB51" s="44">
        <f t="shared" ref="AB51" si="38">AA51/24</f>
        <v>0</v>
      </c>
      <c r="AC51" s="52" t="s">
        <v>119</v>
      </c>
      <c r="AD51" s="40">
        <v>230</v>
      </c>
      <c r="AE51" s="40"/>
      <c r="AF51" s="40">
        <v>0</v>
      </c>
      <c r="AG51" s="40">
        <v>0</v>
      </c>
      <c r="AH51" s="38">
        <v>0</v>
      </c>
      <c r="AI51" s="38">
        <v>0</v>
      </c>
      <c r="AJ51" s="38">
        <v>1.6</v>
      </c>
      <c r="AK51" s="38">
        <v>0</v>
      </c>
      <c r="AL51" s="24">
        <f t="shared" si="6"/>
        <v>1.6</v>
      </c>
      <c r="AM51" s="12"/>
      <c r="AN51" s="12"/>
      <c r="AO51" s="12"/>
      <c r="AP51" s="12"/>
      <c r="AQ51" s="55">
        <f t="shared" si="15"/>
        <v>349.69999999999993</v>
      </c>
      <c r="AR51" s="38"/>
      <c r="AS51" s="38">
        <v>285</v>
      </c>
      <c r="AT51" s="26"/>
      <c r="AU51" s="49"/>
      <c r="AV51" s="136"/>
      <c r="AW51" s="137"/>
    </row>
    <row r="52" spans="1:50" ht="19.399999999999999" customHeight="1">
      <c r="A52" s="18" t="s">
        <v>134</v>
      </c>
      <c r="B52" s="18" t="s">
        <v>1073</v>
      </c>
      <c r="C52" s="19" t="s">
        <v>710</v>
      </c>
      <c r="D52" s="19" t="s">
        <v>710</v>
      </c>
      <c r="E52" s="19" t="s">
        <v>1107</v>
      </c>
      <c r="F52" s="58">
        <v>8</v>
      </c>
      <c r="G52" s="43">
        <v>22</v>
      </c>
      <c r="H52" s="44">
        <v>58.3</v>
      </c>
      <c r="I52" s="44" t="s">
        <v>38</v>
      </c>
      <c r="J52" s="43">
        <v>120</v>
      </c>
      <c r="K52" s="44">
        <v>10.4</v>
      </c>
      <c r="L52" s="44" t="s">
        <v>122</v>
      </c>
      <c r="M52" s="43" t="s">
        <v>115</v>
      </c>
      <c r="N52" s="45">
        <v>12</v>
      </c>
      <c r="O52" s="45">
        <v>3</v>
      </c>
      <c r="P52" s="45">
        <v>1</v>
      </c>
      <c r="Q52" s="45">
        <v>1</v>
      </c>
      <c r="R52" s="46">
        <v>4.04</v>
      </c>
      <c r="S52" s="46">
        <v>4.28</v>
      </c>
      <c r="T52" s="46">
        <v>318</v>
      </c>
      <c r="U52" s="47">
        <v>3090</v>
      </c>
      <c r="V52" s="23">
        <v>24</v>
      </c>
      <c r="W52" s="38">
        <v>0</v>
      </c>
      <c r="X52" s="38">
        <v>0</v>
      </c>
      <c r="Y52" s="38">
        <v>24</v>
      </c>
      <c r="Z52" s="38">
        <v>0</v>
      </c>
      <c r="AA52" s="44">
        <v>0</v>
      </c>
      <c r="AB52" s="44">
        <f t="shared" ref="AB52:AB54" si="39">AA52/24</f>
        <v>0</v>
      </c>
      <c r="AC52" s="52" t="s">
        <v>119</v>
      </c>
      <c r="AD52" s="40">
        <v>233</v>
      </c>
      <c r="AE52" s="40"/>
      <c r="AF52" s="40">
        <v>0</v>
      </c>
      <c r="AG52" s="40">
        <v>0</v>
      </c>
      <c r="AH52" s="38">
        <v>0</v>
      </c>
      <c r="AI52" s="38">
        <v>0</v>
      </c>
      <c r="AJ52" s="38">
        <v>1.4</v>
      </c>
      <c r="AK52" s="38">
        <v>0</v>
      </c>
      <c r="AL52" s="24">
        <f t="shared" si="6"/>
        <v>1.4</v>
      </c>
      <c r="AM52" s="12"/>
      <c r="AN52" s="12"/>
      <c r="AO52" s="12"/>
      <c r="AP52" s="12"/>
      <c r="AQ52" s="55">
        <f t="shared" si="15"/>
        <v>348.29999999999995</v>
      </c>
      <c r="AR52" s="38"/>
      <c r="AS52" s="38">
        <v>280</v>
      </c>
      <c r="AT52" s="26"/>
      <c r="AU52" s="49"/>
      <c r="AV52" s="136"/>
      <c r="AW52" s="137"/>
    </row>
    <row r="53" spans="1:50" ht="19.399999999999999" customHeight="1">
      <c r="A53" s="18" t="s">
        <v>134</v>
      </c>
      <c r="B53" s="18" t="s">
        <v>1108</v>
      </c>
      <c r="C53" s="19" t="s">
        <v>710</v>
      </c>
      <c r="D53" s="19" t="s">
        <v>710</v>
      </c>
      <c r="E53" s="19" t="s">
        <v>1109</v>
      </c>
      <c r="F53" s="58">
        <v>8</v>
      </c>
      <c r="G53" s="43">
        <v>22</v>
      </c>
      <c r="H53" s="44">
        <v>44.7</v>
      </c>
      <c r="I53" s="44" t="s">
        <v>38</v>
      </c>
      <c r="J53" s="43">
        <v>120</v>
      </c>
      <c r="K53" s="44">
        <v>7.3</v>
      </c>
      <c r="L53" s="44" t="s">
        <v>122</v>
      </c>
      <c r="M53" s="43" t="s">
        <v>115</v>
      </c>
      <c r="N53" s="45">
        <v>10</v>
      </c>
      <c r="O53" s="45">
        <v>3</v>
      </c>
      <c r="P53" s="45">
        <v>2</v>
      </c>
      <c r="Q53" s="45">
        <v>1</v>
      </c>
      <c r="R53" s="46">
        <v>4.05</v>
      </c>
      <c r="S53" s="46">
        <v>4.25</v>
      </c>
      <c r="T53" s="46">
        <v>318</v>
      </c>
      <c r="U53" s="47">
        <v>3092</v>
      </c>
      <c r="V53" s="23">
        <v>24</v>
      </c>
      <c r="W53" s="38">
        <v>1.6</v>
      </c>
      <c r="X53" s="38">
        <v>0</v>
      </c>
      <c r="Y53" s="38">
        <v>22.4</v>
      </c>
      <c r="Z53" s="38">
        <v>0</v>
      </c>
      <c r="AA53" s="44">
        <v>15.7</v>
      </c>
      <c r="AB53" s="44">
        <f t="shared" si="39"/>
        <v>0.65416666666666667</v>
      </c>
      <c r="AC53" s="52" t="s">
        <v>131</v>
      </c>
      <c r="AD53" s="40" t="s">
        <v>1110</v>
      </c>
      <c r="AE53" s="40"/>
      <c r="AF53" s="40" t="s">
        <v>1079</v>
      </c>
      <c r="AG53" s="40" t="s">
        <v>1111</v>
      </c>
      <c r="AH53" s="38">
        <v>0.1</v>
      </c>
      <c r="AI53" s="38">
        <v>0</v>
      </c>
      <c r="AJ53" s="38">
        <v>1.4</v>
      </c>
      <c r="AK53" s="38">
        <v>0</v>
      </c>
      <c r="AL53" s="24">
        <f t="shared" si="6"/>
        <v>1.5</v>
      </c>
      <c r="AM53" s="12"/>
      <c r="AN53" s="12"/>
      <c r="AO53" s="12"/>
      <c r="AP53" s="12"/>
      <c r="AQ53" s="55">
        <f t="shared" si="15"/>
        <v>346.79999999999995</v>
      </c>
      <c r="AR53" s="38"/>
      <c r="AS53" s="38">
        <v>274</v>
      </c>
      <c r="AT53" s="26"/>
      <c r="AU53" s="49"/>
      <c r="AV53" s="136"/>
      <c r="AW53" s="137"/>
    </row>
    <row r="54" spans="1:50" ht="19.399999999999999" customHeight="1">
      <c r="A54" s="18" t="s">
        <v>134</v>
      </c>
      <c r="B54" s="18" t="s">
        <v>1108</v>
      </c>
      <c r="C54" s="19" t="s">
        <v>710</v>
      </c>
      <c r="D54" s="19" t="s">
        <v>710</v>
      </c>
      <c r="E54" s="19" t="s">
        <v>1115</v>
      </c>
      <c r="F54" s="58">
        <v>8</v>
      </c>
      <c r="G54" s="43">
        <v>22</v>
      </c>
      <c r="H54" s="44">
        <v>8</v>
      </c>
      <c r="I54" s="44" t="s">
        <v>38</v>
      </c>
      <c r="J54" s="43">
        <v>120</v>
      </c>
      <c r="K54" s="44">
        <v>31.6</v>
      </c>
      <c r="L54" s="44" t="s">
        <v>122</v>
      </c>
      <c r="M54" s="43" t="s">
        <v>115</v>
      </c>
      <c r="N54" s="45">
        <v>9</v>
      </c>
      <c r="O54" s="45">
        <v>5</v>
      </c>
      <c r="P54" s="45">
        <v>3</v>
      </c>
      <c r="Q54" s="45">
        <v>3</v>
      </c>
      <c r="R54" s="46">
        <v>4.05</v>
      </c>
      <c r="S54" s="46">
        <v>4.25</v>
      </c>
      <c r="T54" s="46">
        <v>318</v>
      </c>
      <c r="U54" s="47">
        <v>3092</v>
      </c>
      <c r="V54" s="23">
        <v>24</v>
      </c>
      <c r="W54" s="38">
        <v>24</v>
      </c>
      <c r="X54" s="38">
        <v>0</v>
      </c>
      <c r="Y54" s="38">
        <v>0</v>
      </c>
      <c r="Z54" s="38">
        <v>0</v>
      </c>
      <c r="AA54" s="44">
        <v>157.6</v>
      </c>
      <c r="AB54" s="44">
        <f t="shared" si="39"/>
        <v>6.5666666666666664</v>
      </c>
      <c r="AC54" s="52" t="s">
        <v>131</v>
      </c>
      <c r="AD54" s="40" t="s">
        <v>1112</v>
      </c>
      <c r="AE54" s="40"/>
      <c r="AF54" s="41" t="s">
        <v>1113</v>
      </c>
      <c r="AG54" s="40" t="s">
        <v>1114</v>
      </c>
      <c r="AH54" s="38">
        <v>5</v>
      </c>
      <c r="AI54" s="38">
        <v>0</v>
      </c>
      <c r="AJ54" s="38">
        <v>0</v>
      </c>
      <c r="AK54" s="38">
        <v>0</v>
      </c>
      <c r="AL54" s="24">
        <f t="shared" si="6"/>
        <v>5</v>
      </c>
      <c r="AM54" s="12"/>
      <c r="AN54" s="12"/>
      <c r="AO54" s="12"/>
      <c r="AP54" s="12"/>
      <c r="AQ54" s="55">
        <f t="shared" ref="AQ54:AQ75" si="40">AQ53-AL54</f>
        <v>341.79999999999995</v>
      </c>
      <c r="AR54" s="38"/>
      <c r="AS54" s="38">
        <v>269</v>
      </c>
      <c r="AT54" s="26"/>
      <c r="AU54" s="49"/>
      <c r="AV54" s="136"/>
      <c r="AW54" s="137"/>
      <c r="AX54" s="1">
        <v>250</v>
      </c>
    </row>
    <row r="55" spans="1:50" ht="19.399999999999999" customHeight="1">
      <c r="A55" s="18" t="s">
        <v>134</v>
      </c>
      <c r="B55" s="18" t="s">
        <v>1108</v>
      </c>
      <c r="C55" s="19" t="s">
        <v>710</v>
      </c>
      <c r="D55" s="19" t="s">
        <v>710</v>
      </c>
      <c r="E55" s="19" t="s">
        <v>1117</v>
      </c>
      <c r="F55" s="58">
        <v>8</v>
      </c>
      <c r="G55" s="43">
        <v>22</v>
      </c>
      <c r="H55" s="44">
        <v>43.6</v>
      </c>
      <c r="I55" s="44" t="s">
        <v>38</v>
      </c>
      <c r="J55" s="43">
        <v>121</v>
      </c>
      <c r="K55" s="44">
        <v>27.1</v>
      </c>
      <c r="L55" s="44" t="s">
        <v>122</v>
      </c>
      <c r="M55" s="43" t="s">
        <v>115</v>
      </c>
      <c r="N55" s="45">
        <v>9</v>
      </c>
      <c r="O55" s="45">
        <v>3</v>
      </c>
      <c r="P55" s="45">
        <v>2</v>
      </c>
      <c r="Q55" s="45">
        <v>2</v>
      </c>
      <c r="R55" s="46">
        <v>4.05</v>
      </c>
      <c r="S55" s="46">
        <v>4.25</v>
      </c>
      <c r="T55" s="46">
        <v>318</v>
      </c>
      <c r="U55" s="47">
        <v>3092</v>
      </c>
      <c r="V55" s="23">
        <v>24</v>
      </c>
      <c r="W55" s="38">
        <v>24</v>
      </c>
      <c r="X55" s="38">
        <v>0</v>
      </c>
      <c r="Y55" s="38">
        <v>0</v>
      </c>
      <c r="Z55" s="38">
        <v>0</v>
      </c>
      <c r="AA55" s="44">
        <v>153.9</v>
      </c>
      <c r="AB55" s="44">
        <f t="shared" ref="AB55" si="41">AA55/24</f>
        <v>6.4125000000000005</v>
      </c>
      <c r="AC55" s="52" t="s">
        <v>131</v>
      </c>
      <c r="AD55" s="40" t="s">
        <v>1116</v>
      </c>
      <c r="AE55" s="40"/>
      <c r="AF55" s="41" t="s">
        <v>1099</v>
      </c>
      <c r="AG55" s="40" t="s">
        <v>1111</v>
      </c>
      <c r="AH55" s="38">
        <v>4.8</v>
      </c>
      <c r="AI55" s="38">
        <v>0</v>
      </c>
      <c r="AJ55" s="38">
        <v>0</v>
      </c>
      <c r="AK55" s="38">
        <v>0</v>
      </c>
      <c r="AL55" s="24">
        <f t="shared" si="6"/>
        <v>4.8</v>
      </c>
      <c r="AM55" s="12"/>
      <c r="AN55" s="12"/>
      <c r="AO55" s="12"/>
      <c r="AP55" s="12"/>
      <c r="AQ55" s="55">
        <f t="shared" si="40"/>
        <v>336.99999999999994</v>
      </c>
      <c r="AR55" s="38"/>
      <c r="AS55" s="38">
        <v>260</v>
      </c>
      <c r="AT55" s="26"/>
      <c r="AU55" s="49"/>
      <c r="AV55" s="136"/>
      <c r="AW55" s="137"/>
    </row>
    <row r="56" spans="1:50" ht="19.399999999999999" customHeight="1">
      <c r="A56" s="18" t="s">
        <v>134</v>
      </c>
      <c r="B56" s="18" t="s">
        <v>1108</v>
      </c>
      <c r="C56" s="19" t="s">
        <v>710</v>
      </c>
      <c r="D56" s="19" t="s">
        <v>710</v>
      </c>
      <c r="E56" s="19" t="s">
        <v>1119</v>
      </c>
      <c r="F56" s="58">
        <v>8</v>
      </c>
      <c r="G56" s="43">
        <v>22</v>
      </c>
      <c r="H56" s="44">
        <v>28.8</v>
      </c>
      <c r="I56" s="44" t="s">
        <v>38</v>
      </c>
      <c r="J56" s="43">
        <v>121</v>
      </c>
      <c r="K56" s="44">
        <v>12.3</v>
      </c>
      <c r="L56" s="44" t="s">
        <v>122</v>
      </c>
      <c r="M56" s="43" t="s">
        <v>115</v>
      </c>
      <c r="N56" s="45">
        <v>3</v>
      </c>
      <c r="O56" s="45">
        <v>3</v>
      </c>
      <c r="P56" s="45">
        <v>2</v>
      </c>
      <c r="Q56" s="45">
        <v>1</v>
      </c>
      <c r="R56" s="46">
        <v>4.05</v>
      </c>
      <c r="S56" s="46">
        <v>4.25</v>
      </c>
      <c r="T56" s="46">
        <v>318</v>
      </c>
      <c r="U56" s="47">
        <v>3092</v>
      </c>
      <c r="V56" s="23">
        <v>24</v>
      </c>
      <c r="W56" s="38">
        <v>24</v>
      </c>
      <c r="X56" s="38">
        <v>0</v>
      </c>
      <c r="Y56" s="38">
        <v>0</v>
      </c>
      <c r="Z56" s="38">
        <v>0</v>
      </c>
      <c r="AA56" s="44">
        <v>150.30000000000001</v>
      </c>
      <c r="AB56" s="44">
        <f t="shared" ref="AB56" si="42">AA56/24</f>
        <v>6.2625000000000002</v>
      </c>
      <c r="AC56" s="52" t="s">
        <v>131</v>
      </c>
      <c r="AD56" s="40" t="s">
        <v>1118</v>
      </c>
      <c r="AE56" s="40"/>
      <c r="AF56" s="41" t="s">
        <v>135</v>
      </c>
      <c r="AG56" s="40" t="s">
        <v>1045</v>
      </c>
      <c r="AH56" s="38">
        <v>4.7</v>
      </c>
      <c r="AI56" s="38">
        <v>0</v>
      </c>
      <c r="AJ56" s="38">
        <v>0</v>
      </c>
      <c r="AK56" s="38">
        <v>0</v>
      </c>
      <c r="AL56" s="24">
        <f t="shared" si="6"/>
        <v>4.7</v>
      </c>
      <c r="AM56" s="12"/>
      <c r="AN56" s="12"/>
      <c r="AO56" s="12"/>
      <c r="AP56" s="12"/>
      <c r="AQ56" s="55">
        <f t="shared" si="40"/>
        <v>332.29999999999995</v>
      </c>
      <c r="AR56" s="38"/>
      <c r="AS56" s="38">
        <v>252</v>
      </c>
      <c r="AT56" s="26"/>
      <c r="AU56" s="49"/>
      <c r="AV56" s="136"/>
      <c r="AW56" s="137"/>
    </row>
    <row r="57" spans="1:50" ht="19.399999999999999" customHeight="1">
      <c r="A57" s="18" t="s">
        <v>134</v>
      </c>
      <c r="B57" s="18" t="s">
        <v>1108</v>
      </c>
      <c r="C57" s="19" t="s">
        <v>710</v>
      </c>
      <c r="D57" s="19" t="s">
        <v>710</v>
      </c>
      <c r="E57" s="19" t="s">
        <v>1123</v>
      </c>
      <c r="F57" s="58">
        <v>8</v>
      </c>
      <c r="G57" s="43">
        <v>22</v>
      </c>
      <c r="H57" s="44">
        <v>33.9</v>
      </c>
      <c r="I57" s="44" t="s">
        <v>38</v>
      </c>
      <c r="J57" s="43">
        <v>121</v>
      </c>
      <c r="K57" s="44">
        <v>36.700000000000003</v>
      </c>
      <c r="L57" s="44" t="s">
        <v>122</v>
      </c>
      <c r="M57" s="43" t="s">
        <v>115</v>
      </c>
      <c r="N57" s="45">
        <v>12</v>
      </c>
      <c r="O57" s="45">
        <v>3</v>
      </c>
      <c r="P57" s="45">
        <v>2</v>
      </c>
      <c r="Q57" s="45">
        <v>1</v>
      </c>
      <c r="R57" s="46">
        <v>4.05</v>
      </c>
      <c r="S57" s="46">
        <v>4.25</v>
      </c>
      <c r="T57" s="46">
        <v>318</v>
      </c>
      <c r="U57" s="47">
        <v>3092</v>
      </c>
      <c r="V57" s="23">
        <v>24</v>
      </c>
      <c r="W57" s="38">
        <v>24</v>
      </c>
      <c r="X57" s="38">
        <v>0</v>
      </c>
      <c r="Y57" s="38">
        <v>0</v>
      </c>
      <c r="Z57" s="38">
        <v>0</v>
      </c>
      <c r="AA57" s="44">
        <v>149.9</v>
      </c>
      <c r="AB57" s="44">
        <f t="shared" ref="AB57" si="43">AA57/24</f>
        <v>6.2458333333333336</v>
      </c>
      <c r="AC57" s="52" t="s">
        <v>130</v>
      </c>
      <c r="AD57" s="40" t="s">
        <v>1120</v>
      </c>
      <c r="AE57" s="40"/>
      <c r="AF57" s="41" t="s">
        <v>1121</v>
      </c>
      <c r="AG57" s="40" t="s">
        <v>1122</v>
      </c>
      <c r="AH57" s="38">
        <v>4.5</v>
      </c>
      <c r="AI57" s="38">
        <v>0</v>
      </c>
      <c r="AJ57" s="38">
        <v>0</v>
      </c>
      <c r="AK57" s="38">
        <v>0</v>
      </c>
      <c r="AL57" s="24">
        <f t="shared" si="6"/>
        <v>4.5</v>
      </c>
      <c r="AM57" s="12"/>
      <c r="AN57" s="12"/>
      <c r="AO57" s="12"/>
      <c r="AP57" s="12"/>
      <c r="AQ57" s="55">
        <f t="shared" si="40"/>
        <v>327.79999999999995</v>
      </c>
      <c r="AR57" s="38"/>
      <c r="AS57" s="38">
        <v>246</v>
      </c>
      <c r="AT57" s="26"/>
      <c r="AU57" s="49"/>
      <c r="AV57" s="136"/>
      <c r="AW57" s="137"/>
    </row>
    <row r="58" spans="1:50" ht="19.399999999999999" customHeight="1">
      <c r="A58" s="18" t="s">
        <v>134</v>
      </c>
      <c r="B58" s="18" t="s">
        <v>1108</v>
      </c>
      <c r="C58" s="19" t="s">
        <v>710</v>
      </c>
      <c r="D58" s="19" t="s">
        <v>710</v>
      </c>
      <c r="E58" s="19" t="s">
        <v>1127</v>
      </c>
      <c r="F58" s="58">
        <v>8</v>
      </c>
      <c r="G58" s="43">
        <v>22</v>
      </c>
      <c r="H58" s="44">
        <v>24.8</v>
      </c>
      <c r="I58" s="44" t="s">
        <v>38</v>
      </c>
      <c r="J58" s="43">
        <v>121</v>
      </c>
      <c r="K58" s="44">
        <v>37.9</v>
      </c>
      <c r="L58" s="44" t="s">
        <v>122</v>
      </c>
      <c r="M58" s="43" t="s">
        <v>115</v>
      </c>
      <c r="N58" s="45">
        <v>12</v>
      </c>
      <c r="O58" s="45">
        <v>3</v>
      </c>
      <c r="P58" s="45">
        <v>3</v>
      </c>
      <c r="Q58" s="45">
        <v>2</v>
      </c>
      <c r="R58" s="46">
        <v>4.05</v>
      </c>
      <c r="S58" s="46">
        <v>4.25</v>
      </c>
      <c r="T58" s="46">
        <v>318</v>
      </c>
      <c r="U58" s="47">
        <v>3092</v>
      </c>
      <c r="V58" s="23">
        <v>24</v>
      </c>
      <c r="W58" s="38">
        <v>24</v>
      </c>
      <c r="X58" s="38">
        <v>0</v>
      </c>
      <c r="Y58" s="38">
        <v>0</v>
      </c>
      <c r="Z58" s="38">
        <v>0</v>
      </c>
      <c r="AA58" s="44">
        <v>110.6</v>
      </c>
      <c r="AB58" s="44">
        <f t="shared" ref="AB58" si="44">AA58/24</f>
        <v>4.6083333333333334</v>
      </c>
      <c r="AC58" s="52" t="s">
        <v>130</v>
      </c>
      <c r="AD58" s="40" t="s">
        <v>1124</v>
      </c>
      <c r="AE58" s="40"/>
      <c r="AF58" s="41" t="s">
        <v>1125</v>
      </c>
      <c r="AG58" s="40" t="s">
        <v>1126</v>
      </c>
      <c r="AH58" s="38">
        <v>4.3</v>
      </c>
      <c r="AI58" s="38">
        <v>0</v>
      </c>
      <c r="AJ58" s="38">
        <v>0</v>
      </c>
      <c r="AK58" s="38">
        <v>0</v>
      </c>
      <c r="AL58" s="24">
        <f t="shared" si="6"/>
        <v>4.3</v>
      </c>
      <c r="AM58" s="12"/>
      <c r="AN58" s="12"/>
      <c r="AO58" s="12"/>
      <c r="AP58" s="12"/>
      <c r="AQ58" s="55">
        <f t="shared" si="40"/>
        <v>323.49999999999994</v>
      </c>
      <c r="AR58" s="38"/>
      <c r="AS58" s="38">
        <v>235</v>
      </c>
      <c r="AT58" s="26"/>
      <c r="AU58" s="49"/>
      <c r="AV58" s="136"/>
      <c r="AW58" s="137"/>
    </row>
    <row r="59" spans="1:50" ht="19.399999999999999" customHeight="1">
      <c r="A59" s="18" t="s">
        <v>134</v>
      </c>
      <c r="B59" s="18" t="s">
        <v>1108</v>
      </c>
      <c r="C59" s="19" t="s">
        <v>710</v>
      </c>
      <c r="D59" s="19" t="s">
        <v>710</v>
      </c>
      <c r="E59" s="19" t="s">
        <v>1131</v>
      </c>
      <c r="F59" s="58">
        <v>8</v>
      </c>
      <c r="G59" s="43">
        <v>21</v>
      </c>
      <c r="H59" s="44">
        <v>44.5</v>
      </c>
      <c r="I59" s="44" t="s">
        <v>38</v>
      </c>
      <c r="J59" s="43">
        <v>121</v>
      </c>
      <c r="K59" s="44">
        <v>22.5</v>
      </c>
      <c r="L59" s="44" t="s">
        <v>122</v>
      </c>
      <c r="M59" s="43" t="s">
        <v>115</v>
      </c>
      <c r="N59" s="45">
        <v>10</v>
      </c>
      <c r="O59" s="45">
        <v>5</v>
      </c>
      <c r="P59" s="45">
        <v>4</v>
      </c>
      <c r="Q59" s="45">
        <v>2</v>
      </c>
      <c r="R59" s="46">
        <v>4.05</v>
      </c>
      <c r="S59" s="46">
        <v>4.25</v>
      </c>
      <c r="T59" s="46">
        <v>318</v>
      </c>
      <c r="U59" s="47">
        <v>3092</v>
      </c>
      <c r="V59" s="23">
        <v>24</v>
      </c>
      <c r="W59" s="38">
        <v>24</v>
      </c>
      <c r="X59" s="38">
        <v>0</v>
      </c>
      <c r="Y59" s="38">
        <v>0</v>
      </c>
      <c r="Z59" s="38">
        <v>0</v>
      </c>
      <c r="AA59" s="44">
        <v>113.5</v>
      </c>
      <c r="AB59" s="44">
        <f t="shared" ref="AB59" si="45">AA59/24</f>
        <v>4.729166666666667</v>
      </c>
      <c r="AC59" s="52" t="s">
        <v>130</v>
      </c>
      <c r="AD59" s="40" t="s">
        <v>1128</v>
      </c>
      <c r="AE59" s="40"/>
      <c r="AF59" s="41" t="s">
        <v>1129</v>
      </c>
      <c r="AG59" s="40" t="s">
        <v>1130</v>
      </c>
      <c r="AH59" s="38">
        <v>4.4000000000000004</v>
      </c>
      <c r="AI59" s="38">
        <v>0</v>
      </c>
      <c r="AJ59" s="38">
        <v>0</v>
      </c>
      <c r="AK59" s="38">
        <v>0</v>
      </c>
      <c r="AL59" s="24">
        <f t="shared" si="6"/>
        <v>4.4000000000000004</v>
      </c>
      <c r="AM59" s="12"/>
      <c r="AN59" s="12"/>
      <c r="AO59" s="12"/>
      <c r="AP59" s="12"/>
      <c r="AQ59" s="55">
        <f t="shared" si="40"/>
        <v>319.09999999999997</v>
      </c>
      <c r="AR59" s="38"/>
      <c r="AS59" s="38">
        <v>224</v>
      </c>
      <c r="AT59" s="26"/>
      <c r="AU59" s="49"/>
      <c r="AV59" s="136"/>
      <c r="AW59" s="137"/>
    </row>
    <row r="60" spans="1:50" ht="19.399999999999999" customHeight="1">
      <c r="A60" s="18" t="s">
        <v>134</v>
      </c>
      <c r="B60" s="18" t="s">
        <v>1108</v>
      </c>
      <c r="C60" s="19" t="s">
        <v>710</v>
      </c>
      <c r="D60" s="19" t="s">
        <v>710</v>
      </c>
      <c r="E60" s="19" t="s">
        <v>1134</v>
      </c>
      <c r="F60" s="58">
        <v>8</v>
      </c>
      <c r="G60" s="43">
        <v>21</v>
      </c>
      <c r="H60" s="44">
        <v>16.899999999999999</v>
      </c>
      <c r="I60" s="44" t="s">
        <v>38</v>
      </c>
      <c r="J60" s="43">
        <v>121</v>
      </c>
      <c r="K60" s="44">
        <v>10.3</v>
      </c>
      <c r="L60" s="44" t="s">
        <v>122</v>
      </c>
      <c r="M60" s="43" t="s">
        <v>115</v>
      </c>
      <c r="N60" s="45">
        <v>10</v>
      </c>
      <c r="O60" s="45">
        <v>7</v>
      </c>
      <c r="P60" s="45">
        <v>5</v>
      </c>
      <c r="Q60" s="45">
        <v>3</v>
      </c>
      <c r="R60" s="46">
        <v>4.05</v>
      </c>
      <c r="S60" s="46">
        <v>4.25</v>
      </c>
      <c r="T60" s="46">
        <v>318</v>
      </c>
      <c r="U60" s="47">
        <v>3092</v>
      </c>
      <c r="V60" s="23">
        <v>24</v>
      </c>
      <c r="W60" s="38">
        <v>24</v>
      </c>
      <c r="X60" s="38">
        <v>0</v>
      </c>
      <c r="Y60" s="38">
        <v>0</v>
      </c>
      <c r="Z60" s="38">
        <v>0</v>
      </c>
      <c r="AA60" s="44">
        <v>153</v>
      </c>
      <c r="AB60" s="44">
        <f t="shared" ref="AB60" si="46">AA60/24</f>
        <v>6.375</v>
      </c>
      <c r="AC60" s="52" t="s">
        <v>130</v>
      </c>
      <c r="AD60" s="40" t="s">
        <v>1132</v>
      </c>
      <c r="AE60" s="40"/>
      <c r="AF60" s="41" t="s">
        <v>135</v>
      </c>
      <c r="AG60" s="40" t="s">
        <v>1133</v>
      </c>
      <c r="AH60" s="38">
        <v>4.9000000000000004</v>
      </c>
      <c r="AI60" s="38">
        <v>0</v>
      </c>
      <c r="AJ60" s="38">
        <v>0</v>
      </c>
      <c r="AK60" s="38">
        <v>0</v>
      </c>
      <c r="AL60" s="24">
        <f t="shared" si="6"/>
        <v>4.9000000000000004</v>
      </c>
      <c r="AM60" s="12"/>
      <c r="AN60" s="12"/>
      <c r="AO60" s="12"/>
      <c r="AP60" s="12"/>
      <c r="AQ60" s="55">
        <f t="shared" si="40"/>
        <v>314.2</v>
      </c>
      <c r="AR60" s="38"/>
      <c r="AS60" s="38">
        <v>220</v>
      </c>
      <c r="AT60" s="26"/>
      <c r="AU60" s="49"/>
      <c r="AV60" s="136"/>
      <c r="AW60" s="137"/>
    </row>
    <row r="61" spans="1:50" ht="19.399999999999999" customHeight="1">
      <c r="A61" s="18" t="s">
        <v>134</v>
      </c>
      <c r="B61" s="18" t="s">
        <v>1108</v>
      </c>
      <c r="C61" s="19" t="s">
        <v>710</v>
      </c>
      <c r="D61" s="19" t="s">
        <v>710</v>
      </c>
      <c r="E61" s="19" t="s">
        <v>1136</v>
      </c>
      <c r="F61" s="58">
        <v>8</v>
      </c>
      <c r="G61" s="43">
        <v>22</v>
      </c>
      <c r="H61" s="44">
        <v>31.3</v>
      </c>
      <c r="I61" s="44" t="s">
        <v>38</v>
      </c>
      <c r="J61" s="43">
        <v>121</v>
      </c>
      <c r="K61" s="44">
        <v>19.7</v>
      </c>
      <c r="L61" s="44" t="s">
        <v>122</v>
      </c>
      <c r="M61" s="43" t="s">
        <v>115</v>
      </c>
      <c r="N61" s="45">
        <v>3</v>
      </c>
      <c r="O61" s="45">
        <v>3</v>
      </c>
      <c r="P61" s="45">
        <v>2</v>
      </c>
      <c r="Q61" s="45">
        <v>1</v>
      </c>
      <c r="R61" s="46">
        <v>4.05</v>
      </c>
      <c r="S61" s="46">
        <v>4.25</v>
      </c>
      <c r="T61" s="46">
        <v>318</v>
      </c>
      <c r="U61" s="47">
        <v>3092</v>
      </c>
      <c r="V61" s="23">
        <v>24</v>
      </c>
      <c r="W61" s="38">
        <v>24</v>
      </c>
      <c r="X61" s="38">
        <v>0</v>
      </c>
      <c r="Y61" s="38">
        <v>0</v>
      </c>
      <c r="Z61" s="38">
        <v>0</v>
      </c>
      <c r="AA61" s="44">
        <v>137.4</v>
      </c>
      <c r="AB61" s="44">
        <f t="shared" ref="AB61" si="47">AA61/24</f>
        <v>5.7250000000000005</v>
      </c>
      <c r="AC61" s="52" t="s">
        <v>131</v>
      </c>
      <c r="AD61" s="40" t="s">
        <v>1135</v>
      </c>
      <c r="AE61" s="40"/>
      <c r="AF61" s="41" t="s">
        <v>165</v>
      </c>
      <c r="AG61" s="40" t="s">
        <v>1072</v>
      </c>
      <c r="AH61" s="38">
        <v>4.5999999999999996</v>
      </c>
      <c r="AI61" s="38">
        <v>0</v>
      </c>
      <c r="AJ61" s="38">
        <v>0</v>
      </c>
      <c r="AK61" s="38">
        <v>0</v>
      </c>
      <c r="AL61" s="24">
        <f t="shared" si="6"/>
        <v>4.5999999999999996</v>
      </c>
      <c r="AM61" s="12"/>
      <c r="AN61" s="12"/>
      <c r="AO61" s="12"/>
      <c r="AP61" s="12"/>
      <c r="AQ61" s="55">
        <f t="shared" si="40"/>
        <v>309.59999999999997</v>
      </c>
      <c r="AR61" s="38"/>
      <c r="AS61" s="38">
        <v>212</v>
      </c>
      <c r="AT61" s="26"/>
      <c r="AU61" s="49"/>
      <c r="AV61" s="136"/>
      <c r="AW61" s="137"/>
    </row>
    <row r="62" spans="1:50" ht="19.399999999999999" customHeight="1">
      <c r="A62" s="18" t="s">
        <v>134</v>
      </c>
      <c r="B62" s="18" t="s">
        <v>1108</v>
      </c>
      <c r="C62" s="19" t="s">
        <v>710</v>
      </c>
      <c r="D62" s="19" t="s">
        <v>710</v>
      </c>
      <c r="E62" s="19" t="s">
        <v>1139</v>
      </c>
      <c r="F62" s="58">
        <v>8</v>
      </c>
      <c r="G62" s="43">
        <v>22</v>
      </c>
      <c r="H62" s="44">
        <v>43</v>
      </c>
      <c r="I62" s="44" t="s">
        <v>38</v>
      </c>
      <c r="J62" s="43">
        <v>121</v>
      </c>
      <c r="K62" s="44">
        <v>14.7</v>
      </c>
      <c r="L62" s="44" t="s">
        <v>122</v>
      </c>
      <c r="M62" s="43" t="s">
        <v>115</v>
      </c>
      <c r="N62" s="45">
        <v>9</v>
      </c>
      <c r="O62" s="45">
        <v>2</v>
      </c>
      <c r="P62" s="45">
        <v>2</v>
      </c>
      <c r="Q62" s="45">
        <v>1</v>
      </c>
      <c r="R62" s="46">
        <v>4.05</v>
      </c>
      <c r="S62" s="46">
        <v>4.25</v>
      </c>
      <c r="T62" s="46">
        <v>318</v>
      </c>
      <c r="U62" s="47">
        <v>3092</v>
      </c>
      <c r="V62" s="23">
        <v>24</v>
      </c>
      <c r="W62" s="38">
        <v>24</v>
      </c>
      <c r="X62" s="38">
        <v>0</v>
      </c>
      <c r="Y62" s="38">
        <v>0</v>
      </c>
      <c r="Z62" s="38">
        <v>0</v>
      </c>
      <c r="AA62" s="44">
        <v>152.9</v>
      </c>
      <c r="AB62" s="44">
        <f t="shared" ref="AB62" si="48">AA62/24</f>
        <v>6.3708333333333336</v>
      </c>
      <c r="AC62" s="52" t="s">
        <v>130</v>
      </c>
      <c r="AD62" s="40" t="s">
        <v>1137</v>
      </c>
      <c r="AE62" s="40"/>
      <c r="AF62" s="41" t="s">
        <v>346</v>
      </c>
      <c r="AG62" s="40" t="s">
        <v>1138</v>
      </c>
      <c r="AH62" s="38">
        <v>4.5</v>
      </c>
      <c r="AI62" s="38">
        <v>0</v>
      </c>
      <c r="AJ62" s="38">
        <v>0</v>
      </c>
      <c r="AK62" s="38">
        <v>0</v>
      </c>
      <c r="AL62" s="24">
        <f t="shared" si="6"/>
        <v>4.5</v>
      </c>
      <c r="AM62" s="12"/>
      <c r="AN62" s="12"/>
      <c r="AO62" s="12"/>
      <c r="AP62" s="12"/>
      <c r="AQ62" s="55">
        <f t="shared" si="40"/>
        <v>305.09999999999997</v>
      </c>
      <c r="AR62" s="38"/>
      <c r="AS62" s="38">
        <v>201</v>
      </c>
      <c r="AT62" s="26"/>
      <c r="AU62" s="49"/>
      <c r="AV62" s="136"/>
      <c r="AW62" s="137"/>
    </row>
    <row r="63" spans="1:50" ht="19.399999999999999" customHeight="1">
      <c r="A63" s="18" t="s">
        <v>134</v>
      </c>
      <c r="B63" s="18" t="s">
        <v>1108</v>
      </c>
      <c r="C63" s="19" t="s">
        <v>710</v>
      </c>
      <c r="D63" s="19" t="s">
        <v>710</v>
      </c>
      <c r="E63" s="19" t="s">
        <v>1142</v>
      </c>
      <c r="F63" s="58">
        <v>8</v>
      </c>
      <c r="G63" s="43">
        <v>21</v>
      </c>
      <c r="H63" s="44">
        <v>59.5</v>
      </c>
      <c r="I63" s="44" t="s">
        <v>38</v>
      </c>
      <c r="J63" s="43">
        <v>121</v>
      </c>
      <c r="K63" s="44">
        <v>23</v>
      </c>
      <c r="L63" s="44" t="s">
        <v>122</v>
      </c>
      <c r="M63" s="43" t="s">
        <v>115</v>
      </c>
      <c r="N63" s="45">
        <v>0</v>
      </c>
      <c r="O63" s="45">
        <v>3</v>
      </c>
      <c r="P63" s="45">
        <v>2</v>
      </c>
      <c r="Q63" s="45">
        <v>1</v>
      </c>
      <c r="R63" s="46">
        <v>4.05</v>
      </c>
      <c r="S63" s="46">
        <v>4.25</v>
      </c>
      <c r="T63" s="46">
        <v>318</v>
      </c>
      <c r="U63" s="47">
        <v>3092</v>
      </c>
      <c r="V63" s="23">
        <v>24</v>
      </c>
      <c r="W63" s="38">
        <v>24</v>
      </c>
      <c r="X63" s="38">
        <v>0</v>
      </c>
      <c r="Y63" s="38">
        <v>0</v>
      </c>
      <c r="Z63" s="38">
        <v>0</v>
      </c>
      <c r="AA63" s="44">
        <v>129.5</v>
      </c>
      <c r="AB63" s="44">
        <f t="shared" ref="AB63" si="49">AA63/24</f>
        <v>5.395833333333333</v>
      </c>
      <c r="AC63" s="52" t="s">
        <v>131</v>
      </c>
      <c r="AD63" s="40" t="s">
        <v>1140</v>
      </c>
      <c r="AE63" s="40"/>
      <c r="AF63" s="41" t="s">
        <v>1141</v>
      </c>
      <c r="AG63" s="40" t="s">
        <v>808</v>
      </c>
      <c r="AH63" s="38">
        <v>4.0999999999999996</v>
      </c>
      <c r="AI63" s="38">
        <v>0</v>
      </c>
      <c r="AJ63" s="38">
        <v>0</v>
      </c>
      <c r="AK63" s="38">
        <v>0</v>
      </c>
      <c r="AL63" s="24">
        <f t="shared" si="6"/>
        <v>4.0999999999999996</v>
      </c>
      <c r="AM63" s="12"/>
      <c r="AN63" s="12"/>
      <c r="AO63" s="12"/>
      <c r="AP63" s="12"/>
      <c r="AQ63" s="55">
        <f t="shared" si="40"/>
        <v>300.99999999999994</v>
      </c>
      <c r="AR63" s="38"/>
      <c r="AS63" s="38">
        <v>191</v>
      </c>
      <c r="AT63" s="26"/>
      <c r="AU63" s="49"/>
      <c r="AV63" s="136"/>
      <c r="AW63" s="137"/>
    </row>
    <row r="64" spans="1:50" ht="19.399999999999999" customHeight="1">
      <c r="A64" s="18" t="s">
        <v>134</v>
      </c>
      <c r="B64" s="18" t="s">
        <v>1108</v>
      </c>
      <c r="C64" s="19" t="s">
        <v>710</v>
      </c>
      <c r="D64" s="19" t="s">
        <v>710</v>
      </c>
      <c r="E64" s="19" t="s">
        <v>1145</v>
      </c>
      <c r="F64" s="58">
        <v>8</v>
      </c>
      <c r="G64" s="43">
        <v>22</v>
      </c>
      <c r="H64" s="44">
        <v>8.3000000000000007</v>
      </c>
      <c r="I64" s="44" t="s">
        <v>38</v>
      </c>
      <c r="J64" s="43">
        <v>121</v>
      </c>
      <c r="K64" s="44">
        <v>28.9</v>
      </c>
      <c r="L64" s="44" t="s">
        <v>122</v>
      </c>
      <c r="M64" s="43" t="s">
        <v>115</v>
      </c>
      <c r="N64" s="45">
        <v>0</v>
      </c>
      <c r="O64" s="45">
        <v>4</v>
      </c>
      <c r="P64" s="45">
        <v>3</v>
      </c>
      <c r="Q64" s="45">
        <v>2</v>
      </c>
      <c r="R64" s="46">
        <v>4.05</v>
      </c>
      <c r="S64" s="46">
        <v>4.25</v>
      </c>
      <c r="T64" s="46">
        <v>318</v>
      </c>
      <c r="U64" s="47">
        <v>3092</v>
      </c>
      <c r="V64" s="23">
        <v>24</v>
      </c>
      <c r="W64" s="38">
        <v>24</v>
      </c>
      <c r="X64" s="38">
        <v>0</v>
      </c>
      <c r="Y64" s="38">
        <v>0</v>
      </c>
      <c r="Z64" s="38">
        <v>0</v>
      </c>
      <c r="AA64" s="44">
        <v>144.4</v>
      </c>
      <c r="AB64" s="44">
        <f t="shared" ref="AB64" si="50">AA64/24</f>
        <v>6.0166666666666666</v>
      </c>
      <c r="AC64" s="52" t="s">
        <v>130</v>
      </c>
      <c r="AD64" s="40" t="s">
        <v>1143</v>
      </c>
      <c r="AE64" s="40"/>
      <c r="AF64" s="41" t="s">
        <v>1144</v>
      </c>
      <c r="AG64" s="41" t="s">
        <v>440</v>
      </c>
      <c r="AH64" s="38">
        <v>5</v>
      </c>
      <c r="AI64" s="38">
        <v>0</v>
      </c>
      <c r="AJ64" s="38">
        <v>0</v>
      </c>
      <c r="AK64" s="38">
        <v>0</v>
      </c>
      <c r="AL64" s="24">
        <f t="shared" si="6"/>
        <v>5</v>
      </c>
      <c r="AM64" s="12"/>
      <c r="AN64" s="12"/>
      <c r="AO64" s="12"/>
      <c r="AP64" s="12"/>
      <c r="AQ64" s="55">
        <f t="shared" si="40"/>
        <v>295.99999999999994</v>
      </c>
      <c r="AR64" s="38"/>
      <c r="AS64" s="38">
        <v>182</v>
      </c>
      <c r="AT64" s="26"/>
      <c r="AU64" s="49"/>
      <c r="AV64" s="136"/>
      <c r="AW64" s="137"/>
    </row>
    <row r="65" spans="1:49" ht="19.399999999999999" customHeight="1">
      <c r="A65" s="18" t="s">
        <v>134</v>
      </c>
      <c r="B65" s="18" t="s">
        <v>1108</v>
      </c>
      <c r="C65" s="19" t="s">
        <v>710</v>
      </c>
      <c r="D65" s="19" t="s">
        <v>710</v>
      </c>
      <c r="E65" s="19" t="s">
        <v>1148</v>
      </c>
      <c r="F65" s="58">
        <v>8</v>
      </c>
      <c r="G65" s="43">
        <v>22</v>
      </c>
      <c r="H65" s="44">
        <v>10.8</v>
      </c>
      <c r="I65" s="44" t="s">
        <v>38</v>
      </c>
      <c r="J65" s="43">
        <v>121</v>
      </c>
      <c r="K65" s="44">
        <v>12.6</v>
      </c>
      <c r="L65" s="44" t="s">
        <v>122</v>
      </c>
      <c r="M65" s="43" t="s">
        <v>115</v>
      </c>
      <c r="N65" s="45">
        <v>14</v>
      </c>
      <c r="O65" s="45">
        <v>3</v>
      </c>
      <c r="P65" s="45">
        <v>3</v>
      </c>
      <c r="Q65" s="45">
        <v>1</v>
      </c>
      <c r="R65" s="46">
        <v>4.05</v>
      </c>
      <c r="S65" s="46">
        <v>4.25</v>
      </c>
      <c r="T65" s="46">
        <v>318</v>
      </c>
      <c r="U65" s="47">
        <v>3092</v>
      </c>
      <c r="V65" s="23">
        <v>24</v>
      </c>
      <c r="W65" s="38">
        <v>24</v>
      </c>
      <c r="X65" s="38">
        <v>0</v>
      </c>
      <c r="Y65" s="38">
        <v>0</v>
      </c>
      <c r="Z65" s="38">
        <v>0</v>
      </c>
      <c r="AA65" s="44">
        <v>138.5</v>
      </c>
      <c r="AB65" s="44">
        <f t="shared" ref="AB65" si="51">AA65/24</f>
        <v>5.770833333333333</v>
      </c>
      <c r="AC65" s="52" t="s">
        <v>130</v>
      </c>
      <c r="AD65" s="40" t="s">
        <v>1146</v>
      </c>
      <c r="AE65" s="40"/>
      <c r="AF65" s="41" t="s">
        <v>1147</v>
      </c>
      <c r="AG65" s="41" t="s">
        <v>210</v>
      </c>
      <c r="AH65" s="38">
        <v>4.2</v>
      </c>
      <c r="AI65" s="38">
        <v>0</v>
      </c>
      <c r="AJ65" s="38">
        <v>0</v>
      </c>
      <c r="AK65" s="56">
        <v>0</v>
      </c>
      <c r="AL65" s="24">
        <f t="shared" si="6"/>
        <v>4.2</v>
      </c>
      <c r="AM65" s="12"/>
      <c r="AN65" s="12"/>
      <c r="AO65" s="12"/>
      <c r="AP65" s="12"/>
      <c r="AQ65" s="55">
        <f t="shared" si="40"/>
        <v>291.79999999999995</v>
      </c>
      <c r="AR65" s="38"/>
      <c r="AS65" s="38">
        <v>171</v>
      </c>
      <c r="AT65" s="26"/>
      <c r="AU65" s="49"/>
      <c r="AV65" s="136"/>
      <c r="AW65" s="137"/>
    </row>
    <row r="66" spans="1:49" ht="19.399999999999999" customHeight="1">
      <c r="A66" s="18" t="s">
        <v>134</v>
      </c>
      <c r="B66" s="18" t="s">
        <v>1108</v>
      </c>
      <c r="C66" s="19" t="s">
        <v>710</v>
      </c>
      <c r="D66" s="19" t="s">
        <v>710</v>
      </c>
      <c r="E66" s="19" t="s">
        <v>1149</v>
      </c>
      <c r="F66" s="58">
        <v>8</v>
      </c>
      <c r="G66" s="43">
        <v>22</v>
      </c>
      <c r="H66" s="44">
        <v>0.8</v>
      </c>
      <c r="I66" s="44" t="s">
        <v>38</v>
      </c>
      <c r="J66" s="43">
        <v>121</v>
      </c>
      <c r="K66" s="44">
        <v>24.3</v>
      </c>
      <c r="L66" s="44" t="s">
        <v>122</v>
      </c>
      <c r="M66" s="43" t="s">
        <v>115</v>
      </c>
      <c r="N66" s="45">
        <v>14</v>
      </c>
      <c r="O66" s="45">
        <v>4</v>
      </c>
      <c r="P66" s="45">
        <v>3</v>
      </c>
      <c r="Q66" s="45">
        <v>1</v>
      </c>
      <c r="R66" s="46">
        <v>4.05</v>
      </c>
      <c r="S66" s="46">
        <v>4.25</v>
      </c>
      <c r="T66" s="46">
        <v>318</v>
      </c>
      <c r="U66" s="47">
        <v>3092</v>
      </c>
      <c r="V66" s="23">
        <v>24</v>
      </c>
      <c r="W66" s="38">
        <v>24</v>
      </c>
      <c r="X66" s="38">
        <v>0</v>
      </c>
      <c r="Y66" s="38">
        <v>0</v>
      </c>
      <c r="Z66" s="38">
        <v>0</v>
      </c>
      <c r="AA66" s="44">
        <v>153.5</v>
      </c>
      <c r="AB66" s="44">
        <f t="shared" ref="AB66" si="52">AA66/24</f>
        <v>6.395833333333333</v>
      </c>
      <c r="AC66" s="52" t="s">
        <v>130</v>
      </c>
      <c r="AD66" s="40" t="s">
        <v>1112</v>
      </c>
      <c r="AE66" s="40"/>
      <c r="AF66" s="41" t="s">
        <v>1125</v>
      </c>
      <c r="AG66" s="41" t="s">
        <v>440</v>
      </c>
      <c r="AH66" s="38">
        <v>4.4000000000000004</v>
      </c>
      <c r="AI66" s="38">
        <v>0</v>
      </c>
      <c r="AJ66" s="38">
        <v>0</v>
      </c>
      <c r="AK66" s="56">
        <v>0</v>
      </c>
      <c r="AL66" s="24">
        <f t="shared" si="6"/>
        <v>4.4000000000000004</v>
      </c>
      <c r="AM66" s="12"/>
      <c r="AN66" s="12"/>
      <c r="AO66" s="12"/>
      <c r="AP66" s="12"/>
      <c r="AQ66" s="55">
        <f t="shared" si="40"/>
        <v>287.39999999999998</v>
      </c>
      <c r="AR66" s="38"/>
      <c r="AS66" s="38">
        <v>168</v>
      </c>
      <c r="AT66" s="26"/>
      <c r="AU66" s="49"/>
      <c r="AV66" s="136"/>
      <c r="AW66" s="137"/>
    </row>
    <row r="67" spans="1:49" ht="19.399999999999999" customHeight="1">
      <c r="A67" s="18" t="s">
        <v>134</v>
      </c>
      <c r="B67" s="18" t="s">
        <v>1108</v>
      </c>
      <c r="C67" s="19" t="s">
        <v>710</v>
      </c>
      <c r="D67" s="19" t="s">
        <v>710</v>
      </c>
      <c r="E67" s="19" t="s">
        <v>1152</v>
      </c>
      <c r="F67" s="58">
        <v>8</v>
      </c>
      <c r="G67" s="43">
        <v>21</v>
      </c>
      <c r="H67" s="44">
        <v>35.299999999999997</v>
      </c>
      <c r="I67" s="44" t="s">
        <v>38</v>
      </c>
      <c r="J67" s="43">
        <v>120</v>
      </c>
      <c r="K67" s="44">
        <v>59.4</v>
      </c>
      <c r="L67" s="44" t="s">
        <v>122</v>
      </c>
      <c r="M67" s="43" t="s">
        <v>115</v>
      </c>
      <c r="N67" s="45">
        <v>12</v>
      </c>
      <c r="O67" s="45">
        <v>4</v>
      </c>
      <c r="P67" s="45">
        <v>3</v>
      </c>
      <c r="Q67" s="45">
        <v>2</v>
      </c>
      <c r="R67" s="46">
        <v>4.05</v>
      </c>
      <c r="S67" s="46">
        <v>4.25</v>
      </c>
      <c r="T67" s="46">
        <v>318</v>
      </c>
      <c r="U67" s="47">
        <v>3092</v>
      </c>
      <c r="V67" s="23">
        <v>24</v>
      </c>
      <c r="W67" s="38">
        <v>24</v>
      </c>
      <c r="X67" s="38">
        <v>0</v>
      </c>
      <c r="Y67" s="38">
        <v>0</v>
      </c>
      <c r="Z67" s="38">
        <v>0</v>
      </c>
      <c r="AA67" s="44">
        <v>157</v>
      </c>
      <c r="AB67" s="44">
        <f t="shared" ref="AB67" si="53">AA67/24</f>
        <v>6.541666666666667</v>
      </c>
      <c r="AC67" s="52" t="s">
        <v>130</v>
      </c>
      <c r="AD67" s="40" t="s">
        <v>1150</v>
      </c>
      <c r="AE67" s="40"/>
      <c r="AF67" s="41" t="s">
        <v>137</v>
      </c>
      <c r="AG67" s="41" t="s">
        <v>1151</v>
      </c>
      <c r="AH67" s="38">
        <v>4.5</v>
      </c>
      <c r="AI67" s="38">
        <v>0</v>
      </c>
      <c r="AJ67" s="38">
        <v>0</v>
      </c>
      <c r="AK67" s="56">
        <v>0</v>
      </c>
      <c r="AL67" s="24">
        <f t="shared" si="6"/>
        <v>4.5</v>
      </c>
      <c r="AM67" s="12"/>
      <c r="AN67" s="12"/>
      <c r="AO67" s="12"/>
      <c r="AP67" s="12"/>
      <c r="AQ67" s="55">
        <f t="shared" si="40"/>
        <v>282.89999999999998</v>
      </c>
      <c r="AR67" s="38"/>
      <c r="AS67" s="38">
        <v>156</v>
      </c>
      <c r="AT67" s="26"/>
      <c r="AU67" s="49"/>
      <c r="AV67" s="136"/>
      <c r="AW67" s="137"/>
    </row>
    <row r="68" spans="1:49" ht="19.399999999999999" customHeight="1">
      <c r="A68" s="18" t="s">
        <v>134</v>
      </c>
      <c r="B68" s="18" t="s">
        <v>1108</v>
      </c>
      <c r="C68" s="19" t="s">
        <v>710</v>
      </c>
      <c r="D68" s="19" t="s">
        <v>710</v>
      </c>
      <c r="E68" s="19" t="s">
        <v>1155</v>
      </c>
      <c r="F68" s="58">
        <v>8</v>
      </c>
      <c r="G68" s="43">
        <v>21</v>
      </c>
      <c r="H68" s="44">
        <v>50</v>
      </c>
      <c r="I68" s="44" t="s">
        <v>38</v>
      </c>
      <c r="J68" s="43">
        <v>121</v>
      </c>
      <c r="K68" s="44">
        <v>7.9</v>
      </c>
      <c r="L68" s="44" t="s">
        <v>122</v>
      </c>
      <c r="M68" s="43" t="s">
        <v>115</v>
      </c>
      <c r="N68" s="45">
        <v>10</v>
      </c>
      <c r="O68" s="45">
        <v>4</v>
      </c>
      <c r="P68" s="45">
        <v>3</v>
      </c>
      <c r="Q68" s="45">
        <v>2</v>
      </c>
      <c r="R68" s="46">
        <v>4.05</v>
      </c>
      <c r="S68" s="46">
        <v>4.25</v>
      </c>
      <c r="T68" s="46">
        <v>318</v>
      </c>
      <c r="U68" s="47">
        <v>3092</v>
      </c>
      <c r="V68" s="23">
        <v>24</v>
      </c>
      <c r="W68" s="38">
        <v>24</v>
      </c>
      <c r="X68" s="38">
        <v>0</v>
      </c>
      <c r="Y68" s="38">
        <v>0</v>
      </c>
      <c r="Z68" s="38">
        <v>0</v>
      </c>
      <c r="AA68" s="44">
        <v>140.5</v>
      </c>
      <c r="AB68" s="44">
        <f t="shared" ref="AB68" si="54">AA68/24</f>
        <v>5.854166666666667</v>
      </c>
      <c r="AC68" s="52" t="s">
        <v>130</v>
      </c>
      <c r="AD68" s="40" t="s">
        <v>1153</v>
      </c>
      <c r="AE68" s="40"/>
      <c r="AF68" s="41" t="s">
        <v>1154</v>
      </c>
      <c r="AG68" s="41" t="s">
        <v>347</v>
      </c>
      <c r="AH68" s="38">
        <v>4.2</v>
      </c>
      <c r="AI68" s="38">
        <v>0</v>
      </c>
      <c r="AJ68" s="38">
        <v>0</v>
      </c>
      <c r="AK68" s="56">
        <v>0</v>
      </c>
      <c r="AL68" s="24">
        <f t="shared" si="6"/>
        <v>4.2</v>
      </c>
      <c r="AM68" s="12"/>
      <c r="AN68" s="12"/>
      <c r="AO68" s="12"/>
      <c r="AP68" s="12"/>
      <c r="AQ68" s="55">
        <f t="shared" si="40"/>
        <v>278.7</v>
      </c>
      <c r="AR68" s="38"/>
      <c r="AS68" s="38">
        <v>147</v>
      </c>
      <c r="AT68" s="26"/>
      <c r="AU68" s="49"/>
      <c r="AV68" s="136"/>
      <c r="AW68" s="137"/>
    </row>
    <row r="69" spans="1:49" ht="19.399999999999999" customHeight="1">
      <c r="A69" s="18" t="s">
        <v>134</v>
      </c>
      <c r="B69" s="18" t="s">
        <v>1108</v>
      </c>
      <c r="C69" s="19" t="s">
        <v>710</v>
      </c>
      <c r="D69" s="19" t="s">
        <v>710</v>
      </c>
      <c r="E69" s="19" t="s">
        <v>1158</v>
      </c>
      <c r="F69" s="58">
        <v>8</v>
      </c>
      <c r="G69" s="43">
        <v>22</v>
      </c>
      <c r="H69" s="44">
        <v>12.6</v>
      </c>
      <c r="I69" s="44" t="s">
        <v>38</v>
      </c>
      <c r="J69" s="43">
        <v>121</v>
      </c>
      <c r="K69" s="44">
        <v>6.8</v>
      </c>
      <c r="L69" s="44" t="s">
        <v>122</v>
      </c>
      <c r="M69" s="43" t="s">
        <v>115</v>
      </c>
      <c r="N69" s="45">
        <v>10</v>
      </c>
      <c r="O69" s="45">
        <v>5</v>
      </c>
      <c r="P69" s="45">
        <v>4</v>
      </c>
      <c r="Q69" s="45">
        <v>4</v>
      </c>
      <c r="R69" s="46">
        <v>4.05</v>
      </c>
      <c r="S69" s="46">
        <v>4.25</v>
      </c>
      <c r="T69" s="46">
        <v>318</v>
      </c>
      <c r="U69" s="47">
        <v>3092</v>
      </c>
      <c r="V69" s="23">
        <v>24</v>
      </c>
      <c r="W69" s="38">
        <v>24</v>
      </c>
      <c r="X69" s="38">
        <v>0</v>
      </c>
      <c r="Y69" s="38">
        <v>0</v>
      </c>
      <c r="Z69" s="38">
        <v>0</v>
      </c>
      <c r="AA69" s="44">
        <v>133.19999999999999</v>
      </c>
      <c r="AB69" s="44">
        <f t="shared" ref="AB69" si="55">AA69/24</f>
        <v>5.55</v>
      </c>
      <c r="AC69" s="52" t="s">
        <v>130</v>
      </c>
      <c r="AD69" s="40" t="s">
        <v>1156</v>
      </c>
      <c r="AE69" s="40"/>
      <c r="AF69" s="41" t="s">
        <v>1157</v>
      </c>
      <c r="AG69" s="41" t="s">
        <v>364</v>
      </c>
      <c r="AH69" s="38">
        <v>4.3</v>
      </c>
      <c r="AI69" s="38">
        <v>0</v>
      </c>
      <c r="AJ69" s="38">
        <v>0</v>
      </c>
      <c r="AK69" s="56">
        <v>0</v>
      </c>
      <c r="AL69" s="24">
        <f t="shared" si="6"/>
        <v>4.3</v>
      </c>
      <c r="AM69" s="12"/>
      <c r="AN69" s="12"/>
      <c r="AO69" s="12"/>
      <c r="AP69" s="12"/>
      <c r="AQ69" s="55">
        <f t="shared" si="40"/>
        <v>274.39999999999998</v>
      </c>
      <c r="AR69" s="38"/>
      <c r="AS69" s="38">
        <v>137</v>
      </c>
      <c r="AT69" s="26"/>
      <c r="AU69" s="49"/>
      <c r="AV69" s="136"/>
      <c r="AW69" s="137"/>
    </row>
    <row r="70" spans="1:49" ht="19.399999999999999" customHeight="1">
      <c r="A70" s="18" t="s">
        <v>134</v>
      </c>
      <c r="B70" s="18" t="s">
        <v>1108</v>
      </c>
      <c r="C70" s="19" t="s">
        <v>710</v>
      </c>
      <c r="D70" s="19" t="s">
        <v>710</v>
      </c>
      <c r="E70" s="19" t="s">
        <v>1162</v>
      </c>
      <c r="F70" s="58">
        <v>8</v>
      </c>
      <c r="G70" s="43">
        <v>22</v>
      </c>
      <c r="H70" s="44">
        <v>9.9</v>
      </c>
      <c r="I70" s="44" t="s">
        <v>38</v>
      </c>
      <c r="J70" s="43">
        <v>121</v>
      </c>
      <c r="K70" s="44">
        <v>0.9</v>
      </c>
      <c r="L70" s="44" t="s">
        <v>122</v>
      </c>
      <c r="M70" s="43" t="s">
        <v>1167</v>
      </c>
      <c r="N70" s="45">
        <v>8</v>
      </c>
      <c r="O70" s="45">
        <v>4</v>
      </c>
      <c r="P70" s="45">
        <v>3</v>
      </c>
      <c r="Q70" s="45">
        <v>1</v>
      </c>
      <c r="R70" s="46">
        <v>4.05</v>
      </c>
      <c r="S70" s="46">
        <v>4.25</v>
      </c>
      <c r="T70" s="46">
        <v>318</v>
      </c>
      <c r="U70" s="47">
        <v>3092</v>
      </c>
      <c r="V70" s="23">
        <v>24</v>
      </c>
      <c r="W70" s="38">
        <v>24</v>
      </c>
      <c r="X70" s="38">
        <v>0</v>
      </c>
      <c r="Y70" s="38">
        <v>0</v>
      </c>
      <c r="Z70" s="38">
        <v>0</v>
      </c>
      <c r="AA70" s="44">
        <v>156.1</v>
      </c>
      <c r="AB70" s="44">
        <f t="shared" ref="AB70" si="56">AA70/24</f>
        <v>6.5041666666666664</v>
      </c>
      <c r="AC70" s="52" t="s">
        <v>130</v>
      </c>
      <c r="AD70" s="40" t="s">
        <v>1159</v>
      </c>
      <c r="AE70" s="40"/>
      <c r="AF70" s="41" t="s">
        <v>1160</v>
      </c>
      <c r="AG70" s="41" t="s">
        <v>1161</v>
      </c>
      <c r="AH70" s="38">
        <v>4.4000000000000004</v>
      </c>
      <c r="AI70" s="38">
        <v>0</v>
      </c>
      <c r="AJ70" s="38">
        <v>0</v>
      </c>
      <c r="AK70" s="56">
        <v>0</v>
      </c>
      <c r="AL70" s="24">
        <f t="shared" si="6"/>
        <v>4.4000000000000004</v>
      </c>
      <c r="AM70" s="12"/>
      <c r="AN70" s="12"/>
      <c r="AO70" s="12"/>
      <c r="AP70" s="12"/>
      <c r="AQ70" s="55">
        <f t="shared" si="40"/>
        <v>270</v>
      </c>
      <c r="AR70" s="38"/>
      <c r="AS70" s="38">
        <v>125</v>
      </c>
      <c r="AT70" s="26"/>
      <c r="AU70" s="49"/>
      <c r="AV70" s="136"/>
      <c r="AW70" s="137"/>
    </row>
    <row r="71" spans="1:49" ht="19.399999999999999" customHeight="1">
      <c r="A71" s="18" t="s">
        <v>134</v>
      </c>
      <c r="B71" s="18" t="s">
        <v>1108</v>
      </c>
      <c r="C71" s="19" t="s">
        <v>710</v>
      </c>
      <c r="D71" s="19" t="s">
        <v>710</v>
      </c>
      <c r="E71" s="19" t="s">
        <v>1166</v>
      </c>
      <c r="F71" s="58">
        <v>8</v>
      </c>
      <c r="G71" s="43">
        <v>22</v>
      </c>
      <c r="H71" s="44">
        <v>9.9</v>
      </c>
      <c r="I71" s="44" t="s">
        <v>38</v>
      </c>
      <c r="J71" s="43">
        <v>120</v>
      </c>
      <c r="K71" s="44">
        <v>56.5</v>
      </c>
      <c r="L71" s="44" t="s">
        <v>122</v>
      </c>
      <c r="M71" s="43" t="s">
        <v>115</v>
      </c>
      <c r="N71" s="45">
        <v>10</v>
      </c>
      <c r="O71" s="45">
        <v>6</v>
      </c>
      <c r="P71" s="45">
        <v>4</v>
      </c>
      <c r="Q71" s="45">
        <v>2</v>
      </c>
      <c r="R71" s="46">
        <v>4.05</v>
      </c>
      <c r="S71" s="46">
        <v>4.25</v>
      </c>
      <c r="T71" s="46">
        <v>318</v>
      </c>
      <c r="U71" s="47">
        <v>3092</v>
      </c>
      <c r="V71" s="23">
        <v>24</v>
      </c>
      <c r="W71" s="38">
        <v>24</v>
      </c>
      <c r="X71" s="38">
        <v>0</v>
      </c>
      <c r="Y71" s="38">
        <v>0</v>
      </c>
      <c r="Z71" s="38">
        <v>0</v>
      </c>
      <c r="AA71" s="44">
        <v>149.5</v>
      </c>
      <c r="AB71" s="44">
        <f t="shared" ref="AB71" si="57">AA71/24</f>
        <v>6.229166666666667</v>
      </c>
      <c r="AC71" s="52" t="s">
        <v>130</v>
      </c>
      <c r="AD71" s="40" t="s">
        <v>1163</v>
      </c>
      <c r="AE71" s="40"/>
      <c r="AF71" s="41" t="s">
        <v>1164</v>
      </c>
      <c r="AG71" s="41" t="s">
        <v>1165</v>
      </c>
      <c r="AH71" s="38">
        <v>4.5</v>
      </c>
      <c r="AI71" s="38">
        <v>0</v>
      </c>
      <c r="AJ71" s="38">
        <v>0</v>
      </c>
      <c r="AK71" s="56">
        <v>0</v>
      </c>
      <c r="AL71" s="24">
        <f t="shared" si="6"/>
        <v>4.5</v>
      </c>
      <c r="AM71" s="12"/>
      <c r="AN71" s="12"/>
      <c r="AO71" s="12"/>
      <c r="AP71" s="12"/>
      <c r="AQ71" s="55">
        <f t="shared" si="40"/>
        <v>265.5</v>
      </c>
      <c r="AR71" s="38"/>
      <c r="AS71" s="38">
        <v>118</v>
      </c>
      <c r="AT71" s="26"/>
      <c r="AU71" s="49"/>
      <c r="AV71" s="136"/>
      <c r="AW71" s="137"/>
    </row>
    <row r="72" spans="1:49" ht="19.399999999999999" customHeight="1">
      <c r="A72" s="18" t="s">
        <v>134</v>
      </c>
      <c r="B72" s="18" t="s">
        <v>1108</v>
      </c>
      <c r="C72" s="19" t="s">
        <v>710</v>
      </c>
      <c r="D72" s="19" t="s">
        <v>710</v>
      </c>
      <c r="E72" s="19" t="s">
        <v>1169</v>
      </c>
      <c r="F72" s="58">
        <v>8</v>
      </c>
      <c r="G72" s="43">
        <v>22</v>
      </c>
      <c r="H72" s="44">
        <v>54.6</v>
      </c>
      <c r="I72" s="44" t="s">
        <v>38</v>
      </c>
      <c r="J72" s="43">
        <v>120</v>
      </c>
      <c r="K72" s="44">
        <v>5.9</v>
      </c>
      <c r="L72" s="44" t="s">
        <v>122</v>
      </c>
      <c r="M72" s="43" t="s">
        <v>114</v>
      </c>
      <c r="N72" s="45">
        <v>10</v>
      </c>
      <c r="O72" s="45">
        <v>3</v>
      </c>
      <c r="P72" s="45">
        <v>3</v>
      </c>
      <c r="Q72" s="45">
        <v>2</v>
      </c>
      <c r="R72" s="46">
        <v>4.05</v>
      </c>
      <c r="S72" s="46">
        <v>4.25</v>
      </c>
      <c r="T72" s="46">
        <v>318</v>
      </c>
      <c r="U72" s="47">
        <v>3092</v>
      </c>
      <c r="V72" s="23">
        <v>24</v>
      </c>
      <c r="W72" s="38">
        <v>24</v>
      </c>
      <c r="X72" s="38">
        <v>0</v>
      </c>
      <c r="Y72" s="38">
        <v>0</v>
      </c>
      <c r="Z72" s="38">
        <v>0</v>
      </c>
      <c r="AA72" s="44">
        <v>155.9</v>
      </c>
      <c r="AB72" s="44">
        <f t="shared" ref="AB72" si="58">AA72/24</f>
        <v>6.4958333333333336</v>
      </c>
      <c r="AC72" s="52" t="s">
        <v>130</v>
      </c>
      <c r="AD72" s="40" t="s">
        <v>1168</v>
      </c>
      <c r="AE72" s="40"/>
      <c r="AF72" s="41" t="s">
        <v>166</v>
      </c>
      <c r="AG72" s="41" t="s">
        <v>1045</v>
      </c>
      <c r="AH72" s="38">
        <v>5</v>
      </c>
      <c r="AI72" s="38">
        <v>0</v>
      </c>
      <c r="AJ72" s="38">
        <v>0</v>
      </c>
      <c r="AK72" s="56">
        <v>0</v>
      </c>
      <c r="AL72" s="24">
        <f t="shared" si="6"/>
        <v>5</v>
      </c>
      <c r="AM72" s="12"/>
      <c r="AN72" s="12"/>
      <c r="AO72" s="12"/>
      <c r="AP72" s="12"/>
      <c r="AQ72" s="55">
        <f t="shared" si="40"/>
        <v>260.5</v>
      </c>
      <c r="AR72" s="38"/>
      <c r="AS72" s="38">
        <v>107</v>
      </c>
      <c r="AT72" s="26"/>
      <c r="AU72" s="49"/>
      <c r="AV72" s="136"/>
      <c r="AW72" s="137"/>
    </row>
    <row r="73" spans="1:49" ht="19.399999999999999" customHeight="1">
      <c r="A73" s="18" t="s">
        <v>134</v>
      </c>
      <c r="B73" s="18" t="s">
        <v>1108</v>
      </c>
      <c r="C73" s="19" t="s">
        <v>710</v>
      </c>
      <c r="D73" s="19" t="s">
        <v>710</v>
      </c>
      <c r="E73" s="19" t="s">
        <v>1170</v>
      </c>
      <c r="F73" s="58">
        <v>8</v>
      </c>
      <c r="G73" s="43">
        <v>22</v>
      </c>
      <c r="H73" s="44">
        <v>58.3</v>
      </c>
      <c r="I73" s="44" t="s">
        <v>38</v>
      </c>
      <c r="J73" s="43">
        <v>120</v>
      </c>
      <c r="K73" s="44">
        <v>10.4</v>
      </c>
      <c r="L73" s="44" t="s">
        <v>122</v>
      </c>
      <c r="M73" s="43" t="s">
        <v>1171</v>
      </c>
      <c r="N73" s="45">
        <v>6</v>
      </c>
      <c r="O73" s="45">
        <v>4</v>
      </c>
      <c r="P73" s="45">
        <v>2</v>
      </c>
      <c r="Q73" s="45">
        <v>1</v>
      </c>
      <c r="R73" s="46">
        <v>4.05</v>
      </c>
      <c r="S73" s="46">
        <v>4.25</v>
      </c>
      <c r="T73" s="46">
        <v>318</v>
      </c>
      <c r="U73" s="47">
        <v>3092</v>
      </c>
      <c r="V73" s="23">
        <v>24</v>
      </c>
      <c r="W73" s="38">
        <v>0</v>
      </c>
      <c r="X73" s="38">
        <v>2.9</v>
      </c>
      <c r="Y73" s="38">
        <v>21.1</v>
      </c>
      <c r="Z73" s="38">
        <v>0</v>
      </c>
      <c r="AA73" s="44">
        <v>6.2</v>
      </c>
      <c r="AB73" s="44">
        <f t="shared" ref="AB73" si="59">AA73/24</f>
        <v>0.25833333333333336</v>
      </c>
      <c r="AC73" s="52" t="s">
        <v>119</v>
      </c>
      <c r="AD73" s="40">
        <v>242</v>
      </c>
      <c r="AE73" s="40"/>
      <c r="AF73" s="41">
        <v>0</v>
      </c>
      <c r="AG73" s="41">
        <v>0</v>
      </c>
      <c r="AH73" s="38">
        <v>0</v>
      </c>
      <c r="AI73" s="38">
        <v>0.5</v>
      </c>
      <c r="AJ73" s="38">
        <v>1.3</v>
      </c>
      <c r="AK73" s="56">
        <v>0</v>
      </c>
      <c r="AL73" s="24">
        <f t="shared" si="6"/>
        <v>1.8</v>
      </c>
      <c r="AM73" s="12"/>
      <c r="AN73" s="12"/>
      <c r="AO73" s="12"/>
      <c r="AP73" s="12"/>
      <c r="AQ73" s="55">
        <f t="shared" si="40"/>
        <v>258.7</v>
      </c>
      <c r="AR73" s="38"/>
      <c r="AS73" s="38">
        <v>195</v>
      </c>
      <c r="AT73" s="26"/>
      <c r="AU73" s="49"/>
      <c r="AV73" s="136" t="s">
        <v>1172</v>
      </c>
      <c r="AW73" s="137"/>
    </row>
    <row r="74" spans="1:49" ht="19.399999999999999" customHeight="1">
      <c r="A74" s="18" t="s">
        <v>134</v>
      </c>
      <c r="B74" s="18" t="s">
        <v>1108</v>
      </c>
      <c r="C74" s="19" t="s">
        <v>710</v>
      </c>
      <c r="D74" s="19" t="s">
        <v>710</v>
      </c>
      <c r="E74" s="19" t="s">
        <v>1173</v>
      </c>
      <c r="F74" s="58">
        <v>8</v>
      </c>
      <c r="G74" s="43">
        <v>22</v>
      </c>
      <c r="H74" s="44">
        <v>58.3</v>
      </c>
      <c r="I74" s="44" t="s">
        <v>38</v>
      </c>
      <c r="J74" s="43">
        <v>120</v>
      </c>
      <c r="K74" s="44">
        <v>10.4</v>
      </c>
      <c r="L74" s="44" t="s">
        <v>122</v>
      </c>
      <c r="M74" s="43" t="s">
        <v>123</v>
      </c>
      <c r="N74" s="45">
        <v>6</v>
      </c>
      <c r="O74" s="45">
        <v>2</v>
      </c>
      <c r="P74" s="45">
        <v>2</v>
      </c>
      <c r="Q74" s="45">
        <v>1</v>
      </c>
      <c r="R74" s="46">
        <v>4.05</v>
      </c>
      <c r="S74" s="46">
        <v>4.25</v>
      </c>
      <c r="T74" s="46">
        <v>318</v>
      </c>
      <c r="U74" s="47">
        <v>3092</v>
      </c>
      <c r="V74" s="23">
        <v>24</v>
      </c>
      <c r="W74" s="38">
        <v>0</v>
      </c>
      <c r="X74" s="38">
        <v>0</v>
      </c>
      <c r="Y74" s="38">
        <v>24</v>
      </c>
      <c r="Z74" s="38">
        <v>0</v>
      </c>
      <c r="AA74" s="44">
        <v>0</v>
      </c>
      <c r="AB74" s="44">
        <f t="shared" ref="AB74" si="60">AA74/24</f>
        <v>0</v>
      </c>
      <c r="AC74" s="52" t="s">
        <v>119</v>
      </c>
      <c r="AD74" s="40">
        <v>149</v>
      </c>
      <c r="AE74" s="40"/>
      <c r="AF74" s="41">
        <v>0</v>
      </c>
      <c r="AG74" s="41">
        <v>0</v>
      </c>
      <c r="AH74" s="38">
        <v>0</v>
      </c>
      <c r="AI74" s="38">
        <v>0</v>
      </c>
      <c r="AJ74" s="38">
        <v>1</v>
      </c>
      <c r="AK74" s="56">
        <v>0</v>
      </c>
      <c r="AL74" s="24">
        <f t="shared" si="6"/>
        <v>1</v>
      </c>
      <c r="AM74" s="12"/>
      <c r="AN74" s="12"/>
      <c r="AO74" s="12"/>
      <c r="AP74" s="12"/>
      <c r="AQ74" s="55">
        <f t="shared" si="40"/>
        <v>257.7</v>
      </c>
      <c r="AR74" s="38"/>
      <c r="AS74" s="38">
        <v>194</v>
      </c>
      <c r="AT74" s="26"/>
      <c r="AU74" s="49"/>
      <c r="AV74" s="136"/>
      <c r="AW74" s="137"/>
    </row>
    <row r="75" spans="1:49" ht="19.399999999999999" customHeight="1">
      <c r="A75" s="18" t="s">
        <v>134</v>
      </c>
      <c r="B75" s="18" t="s">
        <v>1108</v>
      </c>
      <c r="C75" s="19" t="s">
        <v>710</v>
      </c>
      <c r="D75" s="19" t="s">
        <v>710</v>
      </c>
      <c r="E75" s="19" t="s">
        <v>1174</v>
      </c>
      <c r="F75" s="58">
        <v>8</v>
      </c>
      <c r="G75" s="43">
        <v>22</v>
      </c>
      <c r="H75" s="44">
        <v>58.3</v>
      </c>
      <c r="I75" s="44" t="s">
        <v>38</v>
      </c>
      <c r="J75" s="43">
        <v>120</v>
      </c>
      <c r="K75" s="44">
        <v>10.4</v>
      </c>
      <c r="L75" s="44" t="s">
        <v>122</v>
      </c>
      <c r="M75" s="43" t="s">
        <v>117</v>
      </c>
      <c r="N75" s="45">
        <v>6</v>
      </c>
      <c r="O75" s="45">
        <v>2</v>
      </c>
      <c r="P75" s="45">
        <v>2</v>
      </c>
      <c r="Q75" s="45">
        <v>1</v>
      </c>
      <c r="R75" s="46">
        <v>4.05</v>
      </c>
      <c r="S75" s="46">
        <v>4.25</v>
      </c>
      <c r="T75" s="46">
        <v>318</v>
      </c>
      <c r="U75" s="47">
        <v>2924</v>
      </c>
      <c r="V75" s="23">
        <v>24</v>
      </c>
      <c r="W75" s="38">
        <v>0</v>
      </c>
      <c r="X75" s="38">
        <v>0</v>
      </c>
      <c r="Y75" s="38">
        <v>24</v>
      </c>
      <c r="Z75" s="38">
        <v>0</v>
      </c>
      <c r="AA75" s="44">
        <v>0</v>
      </c>
      <c r="AB75" s="44">
        <f t="shared" ref="AB75" si="61">AA75/24</f>
        <v>0</v>
      </c>
      <c r="AC75" s="52" t="s">
        <v>119</v>
      </c>
      <c r="AD75" s="40">
        <v>238</v>
      </c>
      <c r="AE75" s="40"/>
      <c r="AF75" s="41">
        <v>0</v>
      </c>
      <c r="AG75" s="41">
        <v>0</v>
      </c>
      <c r="AH75" s="38">
        <v>0</v>
      </c>
      <c r="AI75" s="38">
        <v>0</v>
      </c>
      <c r="AJ75" s="38">
        <v>1</v>
      </c>
      <c r="AK75" s="56">
        <v>0</v>
      </c>
      <c r="AL75" s="24">
        <f t="shared" si="6"/>
        <v>1</v>
      </c>
      <c r="AM75" s="12"/>
      <c r="AN75" s="12"/>
      <c r="AO75" s="12"/>
      <c r="AP75" s="12"/>
      <c r="AQ75" s="55">
        <f t="shared" si="40"/>
        <v>256.7</v>
      </c>
      <c r="AR75" s="38"/>
      <c r="AS75" s="38">
        <v>191</v>
      </c>
      <c r="AT75" s="26"/>
      <c r="AU75" s="49"/>
      <c r="AV75" s="136"/>
      <c r="AW75" s="137"/>
    </row>
    <row r="76" spans="1:49" ht="19.399999999999999" customHeight="1">
      <c r="A76" s="18"/>
      <c r="B76" s="18"/>
      <c r="C76" s="19"/>
      <c r="D76" s="19"/>
      <c r="E76" s="19"/>
      <c r="F76" s="58"/>
      <c r="G76" s="43"/>
      <c r="H76" s="44"/>
      <c r="I76" s="44"/>
      <c r="J76" s="43"/>
      <c r="K76" s="44"/>
      <c r="L76" s="44"/>
      <c r="M76" s="43"/>
      <c r="N76" s="45"/>
      <c r="O76" s="45"/>
      <c r="P76" s="45"/>
      <c r="Q76" s="45"/>
      <c r="R76" s="46"/>
      <c r="S76" s="46"/>
      <c r="T76" s="46"/>
      <c r="U76" s="47"/>
      <c r="V76" s="23"/>
      <c r="W76" s="38"/>
      <c r="X76" s="38"/>
      <c r="Y76" s="38"/>
      <c r="Z76" s="38"/>
      <c r="AA76" s="44"/>
      <c r="AB76" s="44"/>
      <c r="AC76" s="52"/>
      <c r="AD76" s="40"/>
      <c r="AE76" s="40"/>
      <c r="AF76" s="41"/>
      <c r="AG76" s="41"/>
      <c r="AH76" s="38"/>
      <c r="AI76" s="38"/>
      <c r="AJ76" s="38"/>
      <c r="AK76" s="56"/>
      <c r="AL76" s="24"/>
      <c r="AM76" s="12"/>
      <c r="AN76" s="12"/>
      <c r="AO76" s="12"/>
      <c r="AP76" s="12"/>
      <c r="AQ76" s="55"/>
      <c r="AR76" s="38"/>
      <c r="AS76" s="38"/>
      <c r="AT76" s="26"/>
      <c r="AU76" s="49"/>
      <c r="AV76" s="136"/>
      <c r="AW76" s="137"/>
    </row>
    <row r="77" spans="1:49" ht="19.399999999999999" customHeight="1">
      <c r="A77" s="18"/>
      <c r="B77" s="18"/>
      <c r="C77" s="19"/>
      <c r="D77" s="19"/>
      <c r="E77" s="19"/>
      <c r="F77" s="58"/>
      <c r="G77" s="43"/>
      <c r="H77" s="44"/>
      <c r="I77" s="44"/>
      <c r="J77" s="43"/>
      <c r="K77" s="44"/>
      <c r="L77" s="44"/>
      <c r="M77" s="43"/>
      <c r="N77" s="45"/>
      <c r="O77" s="45"/>
      <c r="P77" s="45"/>
      <c r="Q77" s="45"/>
      <c r="R77" s="46"/>
      <c r="S77" s="46"/>
      <c r="T77" s="46"/>
      <c r="U77" s="47"/>
      <c r="V77" s="23"/>
      <c r="W77" s="38"/>
      <c r="X77" s="38"/>
      <c r="Y77" s="38"/>
      <c r="Z77" s="38"/>
      <c r="AA77" s="44"/>
      <c r="AB77" s="44"/>
      <c r="AC77" s="52"/>
      <c r="AD77" s="40"/>
      <c r="AE77" s="40"/>
      <c r="AF77" s="41"/>
      <c r="AG77" s="41"/>
      <c r="AH77" s="38"/>
      <c r="AI77" s="38"/>
      <c r="AJ77" s="38"/>
      <c r="AK77" s="56"/>
      <c r="AL77" s="24"/>
      <c r="AM77" s="12"/>
      <c r="AN77" s="12"/>
      <c r="AO77" s="12"/>
      <c r="AP77" s="12"/>
      <c r="AQ77" s="55"/>
      <c r="AR77" s="38"/>
      <c r="AS77" s="38"/>
      <c r="AT77" s="26"/>
      <c r="AU77" s="49"/>
      <c r="AV77" s="136"/>
      <c r="AW77" s="137"/>
    </row>
    <row r="78" spans="1:49" ht="19.399999999999999" customHeight="1">
      <c r="A78" s="18"/>
      <c r="B78" s="18"/>
      <c r="C78" s="19"/>
      <c r="D78" s="19"/>
      <c r="E78" s="19"/>
      <c r="F78" s="58"/>
      <c r="G78" s="43"/>
      <c r="H78" s="44"/>
      <c r="I78" s="44"/>
      <c r="J78" s="43"/>
      <c r="K78" s="44"/>
      <c r="L78" s="44"/>
      <c r="M78" s="43"/>
      <c r="N78" s="45"/>
      <c r="O78" s="45"/>
      <c r="P78" s="45"/>
      <c r="Q78" s="45"/>
      <c r="R78" s="46"/>
      <c r="S78" s="46"/>
      <c r="T78" s="46"/>
      <c r="U78" s="47"/>
      <c r="V78" s="23"/>
      <c r="W78" s="38"/>
      <c r="X78" s="38"/>
      <c r="Y78" s="38"/>
      <c r="Z78" s="38"/>
      <c r="AA78" s="44"/>
      <c r="AB78" s="44"/>
      <c r="AC78" s="52"/>
      <c r="AD78" s="40"/>
      <c r="AE78" s="40"/>
      <c r="AF78" s="41"/>
      <c r="AG78" s="40"/>
      <c r="AH78" s="38"/>
      <c r="AI78" s="38"/>
      <c r="AJ78" s="38"/>
      <c r="AK78" s="38"/>
      <c r="AL78" s="24"/>
      <c r="AM78" s="38"/>
      <c r="AN78" s="38"/>
      <c r="AO78" s="38"/>
      <c r="AP78" s="38"/>
      <c r="AQ78" s="55"/>
      <c r="AR78" s="38"/>
      <c r="AS78" s="38"/>
      <c r="AT78" s="26"/>
      <c r="AU78" s="49"/>
      <c r="AV78" s="139"/>
      <c r="AW78" s="141"/>
    </row>
    <row r="79" spans="1:49" ht="19.399999999999999" customHeight="1">
      <c r="A79" s="18"/>
      <c r="B79" s="18"/>
      <c r="C79" s="19"/>
      <c r="D79" s="19"/>
      <c r="E79" s="19"/>
      <c r="F79" s="58"/>
      <c r="G79" s="43"/>
      <c r="H79" s="44"/>
      <c r="I79" s="44"/>
      <c r="J79" s="43"/>
      <c r="K79" s="44"/>
      <c r="L79" s="44"/>
      <c r="M79" s="43"/>
      <c r="N79" s="45"/>
      <c r="O79" s="45"/>
      <c r="P79" s="45"/>
      <c r="Q79" s="45"/>
      <c r="R79" s="46"/>
      <c r="S79" s="46"/>
      <c r="T79" s="46"/>
      <c r="U79" s="47"/>
      <c r="V79" s="23"/>
      <c r="W79" s="38"/>
      <c r="X79" s="38"/>
      <c r="Y79" s="38"/>
      <c r="Z79" s="38"/>
      <c r="AA79" s="44"/>
      <c r="AB79" s="44"/>
      <c r="AC79" s="52"/>
      <c r="AD79" s="40"/>
      <c r="AE79" s="40"/>
      <c r="AF79" s="41"/>
      <c r="AG79" s="41"/>
      <c r="AH79" s="38"/>
      <c r="AI79" s="38"/>
      <c r="AJ79" s="38"/>
      <c r="AK79" s="38"/>
      <c r="AL79" s="24"/>
      <c r="AM79" s="12"/>
      <c r="AN79" s="12"/>
      <c r="AO79" s="12"/>
      <c r="AP79" s="12"/>
      <c r="AQ79" s="55"/>
      <c r="AR79" s="38"/>
      <c r="AS79" s="38"/>
      <c r="AT79" s="26"/>
      <c r="AU79" s="49"/>
      <c r="AV79" s="139"/>
      <c r="AW79" s="141"/>
    </row>
    <row r="80" spans="1:49" ht="19.399999999999999" customHeight="1">
      <c r="A80" s="18"/>
      <c r="B80" s="18"/>
      <c r="C80" s="19"/>
      <c r="D80" s="19"/>
      <c r="E80" s="19"/>
      <c r="F80" s="58"/>
      <c r="G80" s="43"/>
      <c r="H80" s="44"/>
      <c r="I80" s="44"/>
      <c r="J80" s="43"/>
      <c r="K80" s="44"/>
      <c r="L80" s="44"/>
      <c r="M80" s="43"/>
      <c r="N80" s="45"/>
      <c r="O80" s="45"/>
      <c r="P80" s="45"/>
      <c r="Q80" s="45"/>
      <c r="R80" s="46"/>
      <c r="S80" s="46"/>
      <c r="T80" s="46"/>
      <c r="U80" s="47"/>
      <c r="V80" s="23"/>
      <c r="W80" s="38"/>
      <c r="X80" s="38"/>
      <c r="Y80" s="38"/>
      <c r="Z80" s="38"/>
      <c r="AA80" s="44"/>
      <c r="AB80" s="44"/>
      <c r="AC80" s="52"/>
      <c r="AD80" s="40"/>
      <c r="AE80" s="40"/>
      <c r="AF80" s="41"/>
      <c r="AG80" s="40"/>
      <c r="AH80" s="38"/>
      <c r="AI80" s="38"/>
      <c r="AJ80" s="38"/>
      <c r="AK80" s="38"/>
      <c r="AL80" s="24"/>
      <c r="AM80" s="12"/>
      <c r="AN80" s="12"/>
      <c r="AO80" s="12"/>
      <c r="AP80" s="12"/>
      <c r="AQ80" s="55"/>
      <c r="AR80" s="38"/>
      <c r="AS80" s="38"/>
      <c r="AT80" s="26"/>
      <c r="AU80" s="49"/>
      <c r="AV80" s="139"/>
      <c r="AW80" s="141"/>
    </row>
    <row r="81" spans="1:49" ht="19.399999999999999" customHeight="1">
      <c r="A81" s="18"/>
      <c r="B81" s="18"/>
      <c r="C81" s="19"/>
      <c r="D81" s="19"/>
      <c r="E81" s="19"/>
      <c r="F81" s="58"/>
      <c r="G81" s="43"/>
      <c r="H81" s="44"/>
      <c r="I81" s="44"/>
      <c r="J81" s="43"/>
      <c r="K81" s="44"/>
      <c r="L81" s="44"/>
      <c r="M81" s="43"/>
      <c r="N81" s="45"/>
      <c r="O81" s="45"/>
      <c r="P81" s="45"/>
      <c r="Q81" s="45"/>
      <c r="R81" s="46"/>
      <c r="S81" s="46"/>
      <c r="T81" s="46"/>
      <c r="U81" s="47"/>
      <c r="V81" s="23"/>
      <c r="W81" s="38"/>
      <c r="X81" s="38"/>
      <c r="Y81" s="38"/>
      <c r="Z81" s="38"/>
      <c r="AA81" s="44"/>
      <c r="AB81" s="44"/>
      <c r="AC81" s="52"/>
      <c r="AD81" s="40"/>
      <c r="AE81" s="40"/>
      <c r="AF81" s="41"/>
      <c r="AG81" s="40"/>
      <c r="AH81" s="38"/>
      <c r="AI81" s="38"/>
      <c r="AJ81" s="38"/>
      <c r="AK81" s="38"/>
      <c r="AL81" s="24"/>
      <c r="AM81" s="12"/>
      <c r="AN81" s="12"/>
      <c r="AO81" s="12"/>
      <c r="AP81" s="12"/>
      <c r="AQ81" s="55"/>
      <c r="AR81" s="38"/>
      <c r="AS81" s="38"/>
      <c r="AT81" s="26"/>
      <c r="AU81" s="49"/>
      <c r="AV81" s="139"/>
      <c r="AW81" s="141"/>
    </row>
    <row r="82" spans="1:49" ht="19.399999999999999" customHeight="1">
      <c r="A82" s="18"/>
      <c r="B82" s="18"/>
      <c r="C82" s="19"/>
      <c r="D82" s="19"/>
      <c r="E82" s="19"/>
      <c r="F82" s="58"/>
      <c r="G82" s="43"/>
      <c r="H82" s="44"/>
      <c r="I82" s="44"/>
      <c r="J82" s="43"/>
      <c r="K82" s="44"/>
      <c r="L82" s="44"/>
      <c r="M82" s="43"/>
      <c r="N82" s="45"/>
      <c r="O82" s="45"/>
      <c r="P82" s="45"/>
      <c r="Q82" s="45"/>
      <c r="R82" s="46"/>
      <c r="S82" s="46"/>
      <c r="T82" s="46"/>
      <c r="U82" s="47"/>
      <c r="V82" s="23"/>
      <c r="W82" s="38"/>
      <c r="X82" s="38"/>
      <c r="Y82" s="38"/>
      <c r="Z82" s="38"/>
      <c r="AA82" s="44"/>
      <c r="AB82" s="44"/>
      <c r="AC82" s="52"/>
      <c r="AD82" s="40"/>
      <c r="AE82" s="40"/>
      <c r="AF82" s="41"/>
      <c r="AG82" s="40"/>
      <c r="AH82" s="38"/>
      <c r="AI82" s="38"/>
      <c r="AJ82" s="38"/>
      <c r="AK82" s="38"/>
      <c r="AL82" s="24"/>
      <c r="AM82" s="12"/>
      <c r="AN82" s="12"/>
      <c r="AO82" s="12"/>
      <c r="AP82" s="12"/>
      <c r="AQ82" s="55"/>
      <c r="AR82" s="38"/>
      <c r="AS82" s="38"/>
      <c r="AT82" s="26"/>
      <c r="AU82" s="49"/>
      <c r="AV82" s="139"/>
      <c r="AW82" s="141"/>
    </row>
    <row r="83" spans="1:49" ht="19.399999999999999" customHeight="1">
      <c r="A83" s="18"/>
      <c r="B83" s="18"/>
      <c r="C83" s="19"/>
      <c r="D83" s="19"/>
      <c r="E83" s="19"/>
      <c r="F83" s="58"/>
      <c r="G83" s="43"/>
      <c r="H83" s="44"/>
      <c r="I83" s="44"/>
      <c r="J83" s="43"/>
      <c r="K83" s="44"/>
      <c r="L83" s="44"/>
      <c r="M83" s="43"/>
      <c r="N83" s="45"/>
      <c r="O83" s="45"/>
      <c r="P83" s="45"/>
      <c r="Q83" s="45"/>
      <c r="R83" s="46"/>
      <c r="S83" s="46"/>
      <c r="T83" s="46"/>
      <c r="U83" s="47"/>
      <c r="V83" s="23"/>
      <c r="W83" s="38"/>
      <c r="X83" s="38"/>
      <c r="Y83" s="38"/>
      <c r="Z83" s="38"/>
      <c r="AA83" s="44"/>
      <c r="AB83" s="44"/>
      <c r="AC83" s="52"/>
      <c r="AD83" s="40"/>
      <c r="AE83" s="40"/>
      <c r="AF83" s="41"/>
      <c r="AG83" s="40"/>
      <c r="AH83" s="38"/>
      <c r="AI83" s="38"/>
      <c r="AJ83" s="38"/>
      <c r="AK83" s="38"/>
      <c r="AL83" s="24"/>
      <c r="AM83" s="12"/>
      <c r="AN83" s="12"/>
      <c r="AO83" s="12"/>
      <c r="AP83" s="12"/>
      <c r="AQ83" s="55"/>
      <c r="AR83" s="38"/>
      <c r="AS83" s="38"/>
      <c r="AT83" s="26"/>
      <c r="AU83" s="49"/>
      <c r="AV83" s="139"/>
      <c r="AW83" s="141"/>
    </row>
    <row r="84" spans="1:49" ht="19.399999999999999" customHeight="1">
      <c r="A84" s="18"/>
      <c r="B84" s="18"/>
      <c r="C84" s="19"/>
      <c r="D84" s="19"/>
      <c r="E84" s="19"/>
      <c r="F84" s="58"/>
      <c r="G84" s="43"/>
      <c r="H84" s="44"/>
      <c r="I84" s="44"/>
      <c r="J84" s="43"/>
      <c r="K84" s="44"/>
      <c r="L84" s="44"/>
      <c r="M84" s="43"/>
      <c r="N84" s="45"/>
      <c r="O84" s="45"/>
      <c r="P84" s="45"/>
      <c r="Q84" s="45"/>
      <c r="R84" s="46"/>
      <c r="S84" s="46"/>
      <c r="T84" s="46"/>
      <c r="U84" s="47"/>
      <c r="V84" s="23"/>
      <c r="W84" s="38"/>
      <c r="X84" s="38"/>
      <c r="Y84" s="38"/>
      <c r="Z84" s="38"/>
      <c r="AA84" s="44"/>
      <c r="AB84" s="44"/>
      <c r="AC84" s="52"/>
      <c r="AD84" s="40"/>
      <c r="AE84" s="40"/>
      <c r="AF84" s="41"/>
      <c r="AG84" s="40"/>
      <c r="AH84" s="38"/>
      <c r="AI84" s="38"/>
      <c r="AJ84" s="38"/>
      <c r="AK84" s="38"/>
      <c r="AL84" s="24"/>
      <c r="AM84" s="12"/>
      <c r="AN84" s="12"/>
      <c r="AO84" s="12"/>
      <c r="AP84" s="12"/>
      <c r="AQ84" s="55"/>
      <c r="AR84" s="38"/>
      <c r="AS84" s="38"/>
      <c r="AT84" s="26"/>
      <c r="AU84" s="49"/>
      <c r="AV84" s="139"/>
      <c r="AW84" s="141"/>
    </row>
    <row r="85" spans="1:49" ht="19.399999999999999" customHeight="1">
      <c r="A85" s="18"/>
      <c r="B85" s="18"/>
      <c r="C85" s="19"/>
      <c r="D85" s="19"/>
      <c r="E85" s="19"/>
      <c r="F85" s="58"/>
      <c r="G85" s="43"/>
      <c r="H85" s="44"/>
      <c r="I85" s="44"/>
      <c r="J85" s="43"/>
      <c r="K85" s="44"/>
      <c r="L85" s="44"/>
      <c r="M85" s="43"/>
      <c r="N85" s="45"/>
      <c r="O85" s="45"/>
      <c r="P85" s="45"/>
      <c r="Q85" s="45"/>
      <c r="R85" s="46"/>
      <c r="S85" s="46"/>
      <c r="T85" s="46"/>
      <c r="U85" s="47"/>
      <c r="V85" s="23"/>
      <c r="W85" s="38"/>
      <c r="X85" s="38"/>
      <c r="Y85" s="38"/>
      <c r="Z85" s="38"/>
      <c r="AA85" s="44"/>
      <c r="AB85" s="44"/>
      <c r="AC85" s="52"/>
      <c r="AD85" s="40"/>
      <c r="AE85" s="40"/>
      <c r="AF85" s="40"/>
      <c r="AG85" s="41"/>
      <c r="AH85" s="38"/>
      <c r="AI85" s="38"/>
      <c r="AJ85" s="38"/>
      <c r="AK85" s="38"/>
      <c r="AL85" s="24"/>
      <c r="AM85" s="12"/>
      <c r="AN85" s="12"/>
      <c r="AO85" s="12"/>
      <c r="AP85" s="12"/>
      <c r="AQ85" s="55"/>
      <c r="AR85" s="38"/>
      <c r="AS85" s="38"/>
      <c r="AT85" s="26"/>
      <c r="AU85" s="49"/>
      <c r="AV85" s="139"/>
      <c r="AW85" s="141"/>
    </row>
    <row r="86" spans="1:49" ht="19.399999999999999" customHeight="1">
      <c r="A86" s="18"/>
      <c r="B86" s="18"/>
      <c r="C86" s="19"/>
      <c r="D86" s="19"/>
      <c r="E86" s="19"/>
      <c r="F86" s="58"/>
      <c r="G86" s="43"/>
      <c r="H86" s="44"/>
      <c r="I86" s="44"/>
      <c r="J86" s="43"/>
      <c r="K86" s="44"/>
      <c r="L86" s="44"/>
      <c r="M86" s="43"/>
      <c r="N86" s="45"/>
      <c r="O86" s="45"/>
      <c r="P86" s="45"/>
      <c r="Q86" s="45"/>
      <c r="R86" s="46"/>
      <c r="S86" s="46"/>
      <c r="T86" s="46"/>
      <c r="U86" s="47"/>
      <c r="V86" s="23"/>
      <c r="W86" s="38"/>
      <c r="X86" s="38"/>
      <c r="Y86" s="38"/>
      <c r="Z86" s="38"/>
      <c r="AA86" s="44"/>
      <c r="AB86" s="44"/>
      <c r="AC86" s="52"/>
      <c r="AD86" s="40"/>
      <c r="AE86" s="40"/>
      <c r="AF86" s="40"/>
      <c r="AG86" s="41"/>
      <c r="AH86" s="38"/>
      <c r="AI86" s="38"/>
      <c r="AJ86" s="38"/>
      <c r="AK86" s="38"/>
      <c r="AL86" s="24"/>
      <c r="AM86" s="12"/>
      <c r="AN86" s="12"/>
      <c r="AO86" s="12"/>
      <c r="AP86" s="12"/>
      <c r="AQ86" s="55"/>
      <c r="AR86" s="38"/>
      <c r="AS86" s="38"/>
      <c r="AT86" s="26"/>
      <c r="AU86" s="49"/>
      <c r="AV86" s="139"/>
      <c r="AW86" s="141"/>
    </row>
    <row r="87" spans="1:49" ht="19.399999999999999" customHeight="1">
      <c r="A87" s="18"/>
      <c r="B87" s="18"/>
      <c r="C87" s="19"/>
      <c r="D87" s="19"/>
      <c r="E87" s="19"/>
      <c r="F87" s="58"/>
      <c r="G87" s="43"/>
      <c r="H87" s="44"/>
      <c r="I87" s="44"/>
      <c r="J87" s="43"/>
      <c r="K87" s="44"/>
      <c r="L87" s="44"/>
      <c r="M87" s="43"/>
      <c r="N87" s="45"/>
      <c r="O87" s="45"/>
      <c r="P87" s="45"/>
      <c r="Q87" s="45"/>
      <c r="R87" s="46"/>
      <c r="S87" s="46"/>
      <c r="T87" s="46"/>
      <c r="U87" s="47"/>
      <c r="V87" s="23"/>
      <c r="W87" s="38"/>
      <c r="X87" s="38"/>
      <c r="Y87" s="38"/>
      <c r="Z87" s="38"/>
      <c r="AA87" s="44"/>
      <c r="AB87" s="44"/>
      <c r="AC87" s="52"/>
      <c r="AD87" s="19"/>
      <c r="AE87" s="40"/>
      <c r="AF87" s="40"/>
      <c r="AG87" s="41"/>
      <c r="AH87" s="38"/>
      <c r="AI87" s="38"/>
      <c r="AJ87" s="38"/>
      <c r="AK87" s="38"/>
      <c r="AL87" s="24"/>
      <c r="AM87" s="12"/>
      <c r="AN87" s="12"/>
      <c r="AO87" s="12"/>
      <c r="AP87" s="12"/>
      <c r="AQ87" s="55"/>
      <c r="AR87" s="38"/>
      <c r="AS87" s="38"/>
      <c r="AT87" s="26"/>
      <c r="AU87" s="49"/>
      <c r="AV87" s="139"/>
      <c r="AW87" s="141"/>
    </row>
    <row r="88" spans="1:49" ht="19.399999999999999" customHeight="1">
      <c r="A88" s="18"/>
      <c r="B88" s="18"/>
      <c r="C88" s="19"/>
      <c r="D88" s="19"/>
      <c r="E88" s="19"/>
      <c r="F88" s="58"/>
      <c r="G88" s="43"/>
      <c r="H88" s="44"/>
      <c r="I88" s="44"/>
      <c r="J88" s="43"/>
      <c r="K88" s="44"/>
      <c r="L88" s="44"/>
      <c r="M88" s="43"/>
      <c r="N88" s="45"/>
      <c r="O88" s="45"/>
      <c r="P88" s="45"/>
      <c r="Q88" s="45"/>
      <c r="R88" s="46"/>
      <c r="S88" s="46"/>
      <c r="T88" s="46"/>
      <c r="U88" s="47"/>
      <c r="V88" s="23"/>
      <c r="W88" s="38"/>
      <c r="X88" s="38"/>
      <c r="Y88" s="38"/>
      <c r="Z88" s="38"/>
      <c r="AA88" s="44"/>
      <c r="AB88" s="44"/>
      <c r="AC88" s="52"/>
      <c r="AD88" s="19"/>
      <c r="AE88" s="40"/>
      <c r="AF88" s="40"/>
      <c r="AG88" s="41"/>
      <c r="AH88" s="38"/>
      <c r="AI88" s="38"/>
      <c r="AJ88" s="38"/>
      <c r="AK88" s="38"/>
      <c r="AL88" s="24"/>
      <c r="AM88" s="12"/>
      <c r="AN88" s="12"/>
      <c r="AO88" s="12"/>
      <c r="AP88" s="12"/>
      <c r="AQ88" s="55"/>
      <c r="AR88" s="38"/>
      <c r="AS88" s="38"/>
      <c r="AT88" s="26"/>
      <c r="AU88" s="49"/>
      <c r="AV88" s="139"/>
      <c r="AW88" s="141"/>
    </row>
    <row r="89" spans="1:49" ht="19.399999999999999" customHeight="1">
      <c r="A89" s="18"/>
      <c r="B89" s="18"/>
      <c r="C89" s="19"/>
      <c r="D89" s="19"/>
      <c r="E89" s="19"/>
      <c r="F89" s="58"/>
      <c r="G89" s="43"/>
      <c r="H89" s="44"/>
      <c r="I89" s="44"/>
      <c r="J89" s="43"/>
      <c r="K89" s="44"/>
      <c r="L89" s="44"/>
      <c r="M89" s="43"/>
      <c r="N89" s="45"/>
      <c r="O89" s="45"/>
      <c r="P89" s="45"/>
      <c r="Q89" s="45"/>
      <c r="R89" s="46"/>
      <c r="S89" s="46"/>
      <c r="T89" s="46"/>
      <c r="U89" s="47"/>
      <c r="V89" s="23"/>
      <c r="W89" s="38"/>
      <c r="X89" s="38"/>
      <c r="Y89" s="38"/>
      <c r="Z89" s="38"/>
      <c r="AA89" s="44"/>
      <c r="AB89" s="44"/>
      <c r="AC89" s="52"/>
      <c r="AD89" s="19"/>
      <c r="AE89" s="40"/>
      <c r="AF89" s="41"/>
      <c r="AG89" s="40"/>
      <c r="AH89" s="38"/>
      <c r="AI89" s="38"/>
      <c r="AJ89" s="38"/>
      <c r="AK89" s="21"/>
      <c r="AL89" s="24"/>
      <c r="AM89" s="12"/>
      <c r="AN89" s="12"/>
      <c r="AO89" s="12"/>
      <c r="AP89" s="12"/>
      <c r="AQ89" s="55"/>
      <c r="AR89" s="38"/>
      <c r="AS89" s="38"/>
      <c r="AT89" s="26"/>
      <c r="AU89" s="49"/>
      <c r="AV89" s="139"/>
      <c r="AW89" s="141"/>
    </row>
    <row r="90" spans="1:49" ht="19.399999999999999" customHeight="1">
      <c r="A90" s="18"/>
      <c r="B90" s="18"/>
      <c r="C90" s="19"/>
      <c r="D90" s="19"/>
      <c r="E90" s="19"/>
      <c r="F90" s="58"/>
      <c r="G90" s="43"/>
      <c r="H90" s="44"/>
      <c r="I90" s="44"/>
      <c r="J90" s="43"/>
      <c r="K90" s="44"/>
      <c r="L90" s="44"/>
      <c r="M90" s="43"/>
      <c r="N90" s="45"/>
      <c r="O90" s="45"/>
      <c r="P90" s="45"/>
      <c r="Q90" s="45"/>
      <c r="R90" s="46"/>
      <c r="S90" s="46"/>
      <c r="T90" s="46"/>
      <c r="U90" s="47"/>
      <c r="V90" s="23"/>
      <c r="W90" s="38"/>
      <c r="X90" s="38"/>
      <c r="Y90" s="38"/>
      <c r="Z90" s="38"/>
      <c r="AA90" s="44"/>
      <c r="AB90" s="44"/>
      <c r="AC90" s="52"/>
      <c r="AD90" s="19"/>
      <c r="AE90" s="40"/>
      <c r="AF90" s="41"/>
      <c r="AG90" s="40"/>
      <c r="AH90" s="38"/>
      <c r="AI90" s="38"/>
      <c r="AJ90" s="21"/>
      <c r="AK90" s="21"/>
      <c r="AL90" s="24"/>
      <c r="AM90" s="12"/>
      <c r="AN90" s="12"/>
      <c r="AO90" s="12"/>
      <c r="AP90" s="12"/>
      <c r="AQ90" s="55"/>
      <c r="AR90" s="38"/>
      <c r="AS90" s="38"/>
      <c r="AT90" s="26"/>
      <c r="AU90" s="49"/>
      <c r="AV90" s="136"/>
      <c r="AW90" s="137"/>
    </row>
    <row r="91" spans="1:49" ht="19.399999999999999" customHeight="1">
      <c r="A91" s="18"/>
      <c r="B91" s="18"/>
      <c r="C91" s="19"/>
      <c r="D91" s="19"/>
      <c r="E91" s="19"/>
      <c r="F91" s="58"/>
      <c r="G91" s="43"/>
      <c r="H91" s="44"/>
      <c r="I91" s="44"/>
      <c r="J91" s="43"/>
      <c r="K91" s="44"/>
      <c r="L91" s="44"/>
      <c r="M91" s="43"/>
      <c r="N91" s="45"/>
      <c r="O91" s="45"/>
      <c r="P91" s="45"/>
      <c r="Q91" s="45"/>
      <c r="R91" s="46"/>
      <c r="S91" s="46"/>
      <c r="T91" s="46"/>
      <c r="U91" s="47"/>
      <c r="V91" s="23"/>
      <c r="W91" s="38"/>
      <c r="X91" s="38"/>
      <c r="Y91" s="38"/>
      <c r="Z91" s="38"/>
      <c r="AA91" s="44"/>
      <c r="AB91" s="44"/>
      <c r="AC91" s="52"/>
      <c r="AD91" s="25"/>
      <c r="AE91" s="41"/>
      <c r="AF91" s="25"/>
      <c r="AG91" s="41"/>
      <c r="AH91" s="56"/>
      <c r="AI91" s="56"/>
      <c r="AJ91" s="57"/>
      <c r="AK91" s="57"/>
      <c r="AL91" s="24"/>
      <c r="AM91" s="55"/>
      <c r="AN91" s="55"/>
      <c r="AO91" s="55"/>
      <c r="AP91" s="55"/>
      <c r="AQ91" s="55"/>
      <c r="AR91" s="38"/>
      <c r="AS91" s="38"/>
      <c r="AT91" s="26"/>
      <c r="AU91" s="49"/>
      <c r="AV91" s="136"/>
      <c r="AW91" s="137"/>
    </row>
    <row r="92" spans="1:49" ht="19.399999999999999" customHeight="1">
      <c r="A92" s="18"/>
      <c r="B92" s="18"/>
      <c r="C92" s="19"/>
      <c r="D92" s="19"/>
      <c r="E92" s="19"/>
      <c r="F92" s="58"/>
      <c r="G92" s="43"/>
      <c r="H92" s="44"/>
      <c r="I92" s="44"/>
      <c r="J92" s="43"/>
      <c r="K92" s="44"/>
      <c r="L92" s="44"/>
      <c r="M92" s="43"/>
      <c r="N92" s="45"/>
      <c r="O92" s="45"/>
      <c r="P92" s="45"/>
      <c r="Q92" s="45"/>
      <c r="R92" s="46"/>
      <c r="S92" s="46"/>
      <c r="T92" s="46"/>
      <c r="U92" s="47"/>
      <c r="V92" s="23"/>
      <c r="W92" s="38"/>
      <c r="X92" s="38"/>
      <c r="Y92" s="38"/>
      <c r="Z92" s="38"/>
      <c r="AA92" s="44"/>
      <c r="AB92" s="44"/>
      <c r="AC92" s="52"/>
      <c r="AD92" s="19"/>
      <c r="AE92" s="40"/>
      <c r="AF92" s="25"/>
      <c r="AG92" s="40"/>
      <c r="AH92" s="38"/>
      <c r="AI92" s="38"/>
      <c r="AJ92" s="21"/>
      <c r="AK92" s="21"/>
      <c r="AL92" s="24"/>
      <c r="AM92" s="12"/>
      <c r="AN92" s="12"/>
      <c r="AO92" s="12"/>
      <c r="AP92" s="12"/>
      <c r="AQ92" s="55"/>
      <c r="AR92" s="38"/>
      <c r="AS92" s="38"/>
      <c r="AT92" s="26"/>
      <c r="AU92" s="49"/>
      <c r="AV92" s="136"/>
      <c r="AW92" s="137"/>
    </row>
    <row r="93" spans="1:49" ht="19.399999999999999" customHeight="1">
      <c r="A93" s="18"/>
      <c r="B93" s="18"/>
      <c r="C93" s="19"/>
      <c r="D93" s="19"/>
      <c r="E93" s="19"/>
      <c r="F93" s="58"/>
      <c r="G93" s="43"/>
      <c r="H93" s="44"/>
      <c r="I93" s="44"/>
      <c r="J93" s="43"/>
      <c r="K93" s="44"/>
      <c r="L93" s="44"/>
      <c r="M93" s="43"/>
      <c r="N93" s="45"/>
      <c r="O93" s="45"/>
      <c r="P93" s="45"/>
      <c r="Q93" s="45"/>
      <c r="R93" s="46"/>
      <c r="S93" s="46"/>
      <c r="T93" s="46"/>
      <c r="U93" s="47"/>
      <c r="V93" s="23"/>
      <c r="W93" s="38"/>
      <c r="X93" s="38"/>
      <c r="Y93" s="38"/>
      <c r="Z93" s="38"/>
      <c r="AA93" s="44"/>
      <c r="AB93" s="44"/>
      <c r="AC93" s="52"/>
      <c r="AD93" s="19"/>
      <c r="AE93" s="40"/>
      <c r="AF93" s="25"/>
      <c r="AG93" s="40"/>
      <c r="AH93" s="38"/>
      <c r="AI93" s="38"/>
      <c r="AJ93" s="21"/>
      <c r="AK93" s="21"/>
      <c r="AL93" s="24"/>
      <c r="AM93" s="12"/>
      <c r="AN93" s="12"/>
      <c r="AO93" s="12"/>
      <c r="AP93" s="12"/>
      <c r="AQ93" s="55"/>
      <c r="AR93" s="21"/>
      <c r="AS93" s="12"/>
      <c r="AT93" s="26"/>
      <c r="AU93" s="49"/>
      <c r="AV93" s="136"/>
      <c r="AW93" s="137"/>
    </row>
    <row r="94" spans="1:49" ht="19.399999999999999" customHeight="1">
      <c r="A94" s="18"/>
      <c r="B94" s="18"/>
      <c r="C94" s="19"/>
      <c r="D94" s="19"/>
      <c r="E94" s="19"/>
      <c r="F94" s="58"/>
      <c r="G94" s="43"/>
      <c r="H94" s="44"/>
      <c r="I94" s="44"/>
      <c r="J94" s="43"/>
      <c r="K94" s="44"/>
      <c r="L94" s="44"/>
      <c r="M94" s="43"/>
      <c r="N94" s="45"/>
      <c r="O94" s="45"/>
      <c r="P94" s="45"/>
      <c r="Q94" s="45"/>
      <c r="R94" s="46"/>
      <c r="S94" s="46"/>
      <c r="T94" s="46"/>
      <c r="U94" s="47"/>
      <c r="V94" s="23"/>
      <c r="W94" s="38"/>
      <c r="X94" s="38"/>
      <c r="Y94" s="38"/>
      <c r="Z94" s="38"/>
      <c r="AA94" s="44"/>
      <c r="AB94" s="44"/>
      <c r="AC94" s="52"/>
      <c r="AD94" s="25"/>
      <c r="AE94" s="41"/>
      <c r="AF94" s="25"/>
      <c r="AG94" s="25"/>
      <c r="AH94" s="56"/>
      <c r="AI94" s="56"/>
      <c r="AJ94" s="57"/>
      <c r="AK94" s="57"/>
      <c r="AL94" s="24"/>
      <c r="AM94" s="55"/>
      <c r="AN94" s="55"/>
      <c r="AO94" s="55"/>
      <c r="AP94" s="55"/>
      <c r="AQ94" s="55"/>
      <c r="AR94" s="21"/>
      <c r="AS94" s="55"/>
      <c r="AT94" s="26"/>
      <c r="AU94" s="49"/>
      <c r="AV94" s="136"/>
      <c r="AW94" s="137"/>
    </row>
    <row r="95" spans="1:49" ht="19.399999999999999" customHeight="1">
      <c r="A95" s="18"/>
      <c r="B95" s="18"/>
      <c r="C95" s="19"/>
      <c r="D95" s="19"/>
      <c r="E95" s="19"/>
      <c r="F95" s="58"/>
      <c r="G95" s="43"/>
      <c r="H95" s="44"/>
      <c r="I95" s="44"/>
      <c r="J95" s="43"/>
      <c r="K95" s="44"/>
      <c r="L95" s="44"/>
      <c r="M95" s="43"/>
      <c r="N95" s="45"/>
      <c r="O95" s="45"/>
      <c r="P95" s="45"/>
      <c r="Q95" s="45"/>
      <c r="R95" s="46"/>
      <c r="S95" s="46"/>
      <c r="T95" s="46"/>
      <c r="U95" s="47"/>
      <c r="V95" s="23"/>
      <c r="W95" s="38"/>
      <c r="X95" s="38"/>
      <c r="Y95" s="38"/>
      <c r="Z95" s="38"/>
      <c r="AA95" s="44"/>
      <c r="AB95" s="44"/>
      <c r="AC95" s="52"/>
      <c r="AD95" s="19"/>
      <c r="AE95" s="40"/>
      <c r="AF95" s="25"/>
      <c r="AG95" s="19"/>
      <c r="AH95" s="38"/>
      <c r="AI95" s="38"/>
      <c r="AJ95" s="21"/>
      <c r="AK95" s="21"/>
      <c r="AL95" s="24"/>
      <c r="AM95" s="12"/>
      <c r="AN95" s="12"/>
      <c r="AO95" s="12"/>
      <c r="AP95" s="12"/>
      <c r="AQ95" s="55"/>
      <c r="AR95" s="21"/>
      <c r="AS95" s="12"/>
      <c r="AT95" s="26"/>
      <c r="AU95" s="49"/>
      <c r="AV95" s="136"/>
      <c r="AW95" s="137"/>
    </row>
    <row r="96" spans="1:49" ht="19.399999999999999" customHeight="1">
      <c r="A96" s="18"/>
      <c r="B96" s="18"/>
      <c r="C96" s="19"/>
      <c r="D96" s="19"/>
      <c r="E96" s="19"/>
      <c r="F96" s="58"/>
      <c r="G96" s="43"/>
      <c r="H96" s="44"/>
      <c r="I96" s="44"/>
      <c r="J96" s="43"/>
      <c r="K96" s="44"/>
      <c r="L96" s="44"/>
      <c r="M96" s="43"/>
      <c r="N96" s="45"/>
      <c r="O96" s="45"/>
      <c r="P96" s="45"/>
      <c r="Q96" s="45"/>
      <c r="R96" s="46"/>
      <c r="S96" s="46"/>
      <c r="T96" s="46"/>
      <c r="U96" s="47"/>
      <c r="V96" s="23"/>
      <c r="W96" s="38"/>
      <c r="X96" s="38"/>
      <c r="Y96" s="38"/>
      <c r="Z96" s="38"/>
      <c r="AA96" s="44"/>
      <c r="AB96" s="44"/>
      <c r="AC96" s="52"/>
      <c r="AD96" s="19"/>
      <c r="AE96" s="40"/>
      <c r="AF96" s="25"/>
      <c r="AG96" s="19"/>
      <c r="AH96" s="38"/>
      <c r="AI96" s="38"/>
      <c r="AJ96" s="21"/>
      <c r="AK96" s="21"/>
      <c r="AL96" s="24"/>
      <c r="AM96" s="12"/>
      <c r="AN96" s="12"/>
      <c r="AO96" s="12"/>
      <c r="AP96" s="12"/>
      <c r="AQ96" s="55"/>
      <c r="AR96" s="21"/>
      <c r="AS96" s="12"/>
      <c r="AT96" s="26"/>
      <c r="AU96" s="49"/>
      <c r="AV96" s="142"/>
      <c r="AW96" s="137"/>
    </row>
    <row r="97" spans="1:49" ht="19.399999999999999" customHeight="1">
      <c r="A97" s="18"/>
      <c r="B97" s="18"/>
      <c r="C97" s="19"/>
      <c r="D97" s="19"/>
      <c r="E97" s="19"/>
      <c r="F97" s="58"/>
      <c r="G97" s="43"/>
      <c r="H97" s="44"/>
      <c r="I97" s="44"/>
      <c r="J97" s="43"/>
      <c r="K97" s="44"/>
      <c r="L97" s="44"/>
      <c r="M97" s="43"/>
      <c r="N97" s="45"/>
      <c r="O97" s="45"/>
      <c r="P97" s="45"/>
      <c r="Q97" s="45"/>
      <c r="R97" s="46"/>
      <c r="S97" s="46"/>
      <c r="T97" s="46"/>
      <c r="U97" s="47"/>
      <c r="V97" s="23"/>
      <c r="W97" s="38"/>
      <c r="X97" s="38"/>
      <c r="Y97" s="38"/>
      <c r="Z97" s="38"/>
      <c r="AA97" s="44"/>
      <c r="AB97" s="44"/>
      <c r="AC97" s="52"/>
      <c r="AD97" s="40"/>
      <c r="AE97" s="40"/>
      <c r="AF97" s="41"/>
      <c r="AG97" s="40"/>
      <c r="AH97" s="38"/>
      <c r="AI97" s="38"/>
      <c r="AJ97" s="38"/>
      <c r="AK97" s="38"/>
      <c r="AL97" s="54"/>
      <c r="AM97" s="12"/>
      <c r="AN97" s="12"/>
      <c r="AO97" s="12"/>
      <c r="AP97" s="12"/>
      <c r="AQ97" s="55"/>
      <c r="AR97" s="21"/>
      <c r="AS97" s="12"/>
      <c r="AT97" s="26"/>
      <c r="AU97" s="49"/>
      <c r="AV97" s="142"/>
      <c r="AW97" s="137"/>
    </row>
    <row r="98" spans="1:49" ht="19.399999999999999" customHeight="1">
      <c r="A98" s="18"/>
      <c r="B98" s="18"/>
      <c r="C98" s="19"/>
      <c r="D98" s="19"/>
      <c r="E98" s="19"/>
      <c r="F98" s="58"/>
      <c r="G98" s="43"/>
      <c r="H98" s="44"/>
      <c r="I98" s="44"/>
      <c r="J98" s="43"/>
      <c r="K98" s="44"/>
      <c r="L98" s="44"/>
      <c r="M98" s="43"/>
      <c r="N98" s="45"/>
      <c r="O98" s="45"/>
      <c r="P98" s="45"/>
      <c r="Q98" s="45"/>
      <c r="R98" s="46"/>
      <c r="S98" s="46"/>
      <c r="T98" s="46"/>
      <c r="U98" s="47"/>
      <c r="V98" s="23"/>
      <c r="W98" s="38"/>
      <c r="X98" s="38"/>
      <c r="Y98" s="38"/>
      <c r="Z98" s="38"/>
      <c r="AA98" s="44"/>
      <c r="AB98" s="44"/>
      <c r="AC98" s="52"/>
      <c r="AD98" s="40"/>
      <c r="AE98" s="40"/>
      <c r="AF98" s="41"/>
      <c r="AG98" s="40"/>
      <c r="AH98" s="38"/>
      <c r="AI98" s="38"/>
      <c r="AJ98" s="38"/>
      <c r="AK98" s="38"/>
      <c r="AL98" s="54"/>
      <c r="AM98" s="12"/>
      <c r="AN98" s="12"/>
      <c r="AO98" s="12"/>
      <c r="AP98" s="12"/>
      <c r="AQ98" s="55"/>
      <c r="AR98" s="21"/>
      <c r="AS98" s="12"/>
      <c r="AT98" s="26"/>
      <c r="AU98" s="49"/>
      <c r="AV98" s="142"/>
      <c r="AW98" s="137"/>
    </row>
    <row r="99" spans="1:49" ht="19.399999999999999" customHeight="1">
      <c r="A99" s="18"/>
      <c r="B99" s="18"/>
      <c r="C99" s="19"/>
      <c r="D99" s="19"/>
      <c r="E99" s="19"/>
      <c r="F99" s="58"/>
      <c r="G99" s="43"/>
      <c r="H99" s="44"/>
      <c r="I99" s="44"/>
      <c r="J99" s="43"/>
      <c r="K99" s="44"/>
      <c r="L99" s="44"/>
      <c r="M99" s="43"/>
      <c r="N99" s="45"/>
      <c r="O99" s="45"/>
      <c r="P99" s="45"/>
      <c r="Q99" s="45"/>
      <c r="R99" s="46"/>
      <c r="S99" s="46"/>
      <c r="T99" s="46"/>
      <c r="U99" s="47"/>
      <c r="V99" s="23"/>
      <c r="W99" s="38"/>
      <c r="X99" s="38"/>
      <c r="Y99" s="38"/>
      <c r="Z99" s="38"/>
      <c r="AA99" s="44"/>
      <c r="AB99" s="44"/>
      <c r="AC99" s="52"/>
      <c r="AD99" s="19"/>
      <c r="AE99" s="40"/>
      <c r="AF99" s="25"/>
      <c r="AG99" s="19"/>
      <c r="AH99" s="12"/>
      <c r="AI99" s="21"/>
      <c r="AJ99" s="21"/>
      <c r="AK99" s="21"/>
      <c r="AL99" s="24"/>
      <c r="AM99" s="12"/>
      <c r="AN99" s="12"/>
      <c r="AO99" s="12"/>
      <c r="AP99" s="12"/>
      <c r="AQ99" s="55"/>
      <c r="AR99" s="21"/>
      <c r="AS99" s="12"/>
      <c r="AT99" s="26"/>
      <c r="AU99" s="49"/>
      <c r="AV99" s="136"/>
      <c r="AW99" s="137"/>
    </row>
    <row r="100" spans="1:49" ht="19.399999999999999" customHeight="1">
      <c r="A100" s="18"/>
      <c r="B100" s="18"/>
      <c r="C100" s="19"/>
      <c r="D100" s="19"/>
      <c r="E100" s="19"/>
      <c r="F100" s="58"/>
      <c r="G100" s="43"/>
      <c r="H100" s="44"/>
      <c r="I100" s="44"/>
      <c r="J100" s="43"/>
      <c r="K100" s="44"/>
      <c r="L100" s="44"/>
      <c r="M100" s="43"/>
      <c r="N100" s="45"/>
      <c r="O100" s="45"/>
      <c r="P100" s="45"/>
      <c r="Q100" s="45"/>
      <c r="R100" s="46"/>
      <c r="S100" s="46"/>
      <c r="T100" s="46"/>
      <c r="U100" s="47"/>
      <c r="V100" s="23"/>
      <c r="W100" s="38"/>
      <c r="X100" s="38"/>
      <c r="Y100" s="38"/>
      <c r="Z100" s="38"/>
      <c r="AA100" s="44"/>
      <c r="AB100" s="44"/>
      <c r="AC100" s="52"/>
      <c r="AD100" s="19"/>
      <c r="AE100" s="48"/>
      <c r="AF100" s="40"/>
      <c r="AG100" s="19"/>
      <c r="AH100" s="21"/>
      <c r="AI100" s="21"/>
      <c r="AJ100" s="21"/>
      <c r="AK100" s="21"/>
      <c r="AL100" s="24"/>
      <c r="AM100" s="12"/>
      <c r="AN100" s="12"/>
      <c r="AO100" s="12"/>
      <c r="AP100" s="12"/>
      <c r="AQ100" s="55"/>
      <c r="AR100" s="21"/>
      <c r="AS100" s="12"/>
      <c r="AT100" s="26"/>
      <c r="AU100" s="49"/>
      <c r="AV100" s="136"/>
      <c r="AW100" s="137"/>
    </row>
    <row r="101" spans="1:49" customFormat="1">
      <c r="A101" s="7"/>
      <c r="B101" s="7"/>
      <c r="C101" s="7"/>
      <c r="D101" s="7"/>
      <c r="E101" s="8"/>
      <c r="F101" s="8"/>
      <c r="G101" s="10"/>
      <c r="H101" s="9"/>
      <c r="I101" s="9"/>
      <c r="J101" s="10"/>
      <c r="K101" s="9"/>
      <c r="L101" s="9"/>
      <c r="M101" s="9"/>
      <c r="N101" s="9"/>
      <c r="O101" s="9"/>
      <c r="P101" s="9"/>
      <c r="Q101" s="9"/>
      <c r="R101" s="7"/>
      <c r="S101" s="7"/>
      <c r="T101" s="7"/>
      <c r="U101" s="7"/>
      <c r="V101" s="7"/>
      <c r="W101" s="7"/>
      <c r="X101" s="7"/>
      <c r="Y101" s="7"/>
      <c r="Z101" s="7"/>
      <c r="AA101" s="9"/>
      <c r="AB101" s="9"/>
      <c r="AC101" s="52" t="s">
        <v>125</v>
      </c>
      <c r="AD101" s="66" t="s">
        <v>975</v>
      </c>
      <c r="AE101" s="66"/>
      <c r="AF101" s="66" t="s">
        <v>976</v>
      </c>
      <c r="AG101" s="66" t="s">
        <v>977</v>
      </c>
      <c r="AH101" s="67">
        <v>0</v>
      </c>
      <c r="AI101" s="67">
        <v>3.4</v>
      </c>
      <c r="AJ101" s="67">
        <v>0</v>
      </c>
      <c r="AK101" s="67">
        <v>0</v>
      </c>
      <c r="AL101" s="67">
        <f t="shared" ref="AL101" si="62">SUM(AH101:AK101)</f>
        <v>3.4</v>
      </c>
      <c r="AM101" s="67"/>
      <c r="AN101" s="67"/>
      <c r="AO101" s="67"/>
      <c r="AP101" s="67"/>
      <c r="AQ101" s="55">
        <f t="shared" ref="AQ101" si="63">AQ100-AL101</f>
        <v>-3.4</v>
      </c>
      <c r="AR101" s="68"/>
      <c r="AS101" s="68"/>
      <c r="AT101" s="69"/>
      <c r="AU101" s="70"/>
      <c r="AV101" s="69"/>
      <c r="AW101" s="71"/>
    </row>
    <row r="102" spans="1:49" s="7" customFormat="1">
      <c r="E102" s="8"/>
      <c r="F102" s="8"/>
      <c r="G102" s="10"/>
      <c r="H102" s="9"/>
      <c r="I102" s="9"/>
      <c r="J102" s="10"/>
      <c r="K102" s="9"/>
      <c r="L102" s="9"/>
      <c r="M102" s="9"/>
      <c r="N102" s="9"/>
      <c r="O102" s="9"/>
      <c r="P102" s="9"/>
      <c r="Q102" s="9"/>
      <c r="AA102" s="9"/>
      <c r="AB102" s="9"/>
      <c r="AC102" s="9"/>
      <c r="AD102" s="10"/>
      <c r="AE102" s="10"/>
      <c r="AF102" s="10"/>
      <c r="AG102" s="10"/>
      <c r="AH102" s="11"/>
      <c r="AI102" s="11"/>
      <c r="AJ102" s="11"/>
      <c r="AK102" s="11"/>
      <c r="AL102" s="11"/>
      <c r="AM102" s="11"/>
      <c r="AN102" s="11"/>
      <c r="AO102" s="11"/>
      <c r="AP102" s="11"/>
      <c r="AQ102" s="11"/>
      <c r="AR102" s="16"/>
      <c r="AS102" s="16"/>
      <c r="AT102" s="17"/>
      <c r="AU102" s="50"/>
      <c r="AV102" s="17"/>
    </row>
    <row r="103" spans="1:49" s="7" customFormat="1">
      <c r="E103" s="8"/>
      <c r="F103" s="8"/>
      <c r="G103" s="10"/>
      <c r="H103" s="9"/>
      <c r="I103" s="9"/>
      <c r="J103" s="10"/>
      <c r="K103" s="9"/>
      <c r="L103" s="9"/>
      <c r="M103" s="9"/>
      <c r="N103" s="9"/>
      <c r="O103" s="9"/>
      <c r="P103" s="9"/>
      <c r="Q103" s="9"/>
      <c r="AA103" s="9"/>
      <c r="AB103" s="9"/>
      <c r="AC103" s="9"/>
      <c r="AD103" s="10"/>
      <c r="AE103" s="10"/>
      <c r="AF103" s="10"/>
      <c r="AG103" s="10"/>
      <c r="AH103" s="11"/>
      <c r="AI103" s="11"/>
      <c r="AJ103" s="11"/>
      <c r="AK103" s="11"/>
      <c r="AL103" s="11"/>
      <c r="AM103" s="11"/>
      <c r="AN103" s="11"/>
      <c r="AO103" s="11"/>
      <c r="AP103" s="11"/>
      <c r="AQ103" s="11"/>
      <c r="AR103" s="16"/>
      <c r="AS103" s="16"/>
      <c r="AT103" s="17"/>
      <c r="AU103" s="50"/>
      <c r="AV103" s="17"/>
    </row>
    <row r="104" spans="1:49" s="7" customFormat="1">
      <c r="E104" s="8"/>
      <c r="F104" s="8"/>
      <c r="G104" s="10"/>
      <c r="H104" s="9"/>
      <c r="I104" s="9"/>
      <c r="J104" s="10"/>
      <c r="K104" s="9"/>
      <c r="L104" s="9"/>
      <c r="M104" s="9"/>
      <c r="N104" s="9"/>
      <c r="O104" s="9"/>
      <c r="P104" s="9"/>
      <c r="Q104" s="9"/>
      <c r="AA104" s="9"/>
      <c r="AB104" s="9"/>
      <c r="AC104" s="5"/>
      <c r="AD104" s="10"/>
      <c r="AE104" s="10"/>
      <c r="AF104" s="10"/>
      <c r="AG104" s="10"/>
      <c r="AH104" s="11"/>
      <c r="AI104" s="11"/>
      <c r="AJ104" s="11"/>
      <c r="AK104" s="11"/>
      <c r="AL104" s="11"/>
      <c r="AM104" s="11"/>
      <c r="AN104" s="11"/>
      <c r="AO104" s="11"/>
      <c r="AP104" s="11"/>
      <c r="AQ104" s="16"/>
      <c r="AR104" s="16"/>
      <c r="AS104" s="16"/>
      <c r="AT104" s="17"/>
      <c r="AU104" s="50"/>
      <c r="AV104" s="17"/>
    </row>
    <row r="105" spans="1:49" s="7" customFormat="1">
      <c r="E105" s="8"/>
      <c r="F105" s="8"/>
      <c r="G105" s="10"/>
      <c r="H105" s="9"/>
      <c r="I105" s="9"/>
      <c r="J105" s="10"/>
      <c r="K105" s="9"/>
      <c r="L105" s="9"/>
      <c r="M105" s="9"/>
      <c r="N105" s="9"/>
      <c r="O105" s="9"/>
      <c r="P105" s="9"/>
      <c r="Q105" s="5"/>
      <c r="W105" s="1"/>
      <c r="X105" s="1"/>
      <c r="Y105" s="1"/>
      <c r="Z105" s="1"/>
      <c r="AA105" s="5"/>
      <c r="AB105" s="5"/>
      <c r="AC105" s="5"/>
      <c r="AD105" s="6"/>
      <c r="AE105" s="6"/>
      <c r="AF105" s="6"/>
      <c r="AG105" s="6"/>
      <c r="AH105" s="2"/>
      <c r="AI105" s="2"/>
      <c r="AJ105" s="2"/>
      <c r="AK105" s="2"/>
      <c r="AL105" s="2"/>
      <c r="AM105" s="2"/>
      <c r="AN105" s="2"/>
      <c r="AO105" s="2"/>
      <c r="AP105" s="2"/>
      <c r="AQ105" s="14"/>
      <c r="AR105" s="14"/>
      <c r="AS105" s="14"/>
      <c r="AT105" s="17"/>
      <c r="AU105" s="50"/>
      <c r="AV105" s="17"/>
    </row>
    <row r="106" spans="1:49" s="7" customFormat="1">
      <c r="A106" s="1"/>
      <c r="B106" s="1"/>
      <c r="C106" s="1"/>
      <c r="D106" s="1"/>
      <c r="E106" s="3"/>
      <c r="F106" s="3"/>
      <c r="G106" s="6"/>
      <c r="H106" s="5"/>
      <c r="I106" s="5"/>
      <c r="J106" s="6"/>
      <c r="K106" s="5"/>
      <c r="L106" s="5"/>
      <c r="M106" s="5"/>
      <c r="N106" s="5"/>
      <c r="O106" s="5"/>
      <c r="P106" s="5"/>
      <c r="Q106" s="5"/>
      <c r="R106" s="1"/>
      <c r="S106" s="1"/>
      <c r="T106" s="1"/>
      <c r="U106" s="1"/>
      <c r="V106" s="1"/>
      <c r="W106" s="1"/>
      <c r="X106" s="1"/>
      <c r="Y106" s="1"/>
      <c r="Z106" s="1"/>
      <c r="AA106" s="5"/>
      <c r="AB106" s="5"/>
      <c r="AC106" s="5"/>
      <c r="AD106" s="6"/>
      <c r="AE106" s="6"/>
      <c r="AF106" s="6"/>
      <c r="AG106" s="6"/>
      <c r="AH106" s="2"/>
      <c r="AI106" s="2"/>
      <c r="AJ106" s="2"/>
      <c r="AK106" s="2"/>
      <c r="AL106" s="2"/>
      <c r="AM106" s="2"/>
      <c r="AN106" s="2"/>
      <c r="AO106" s="2"/>
      <c r="AP106" s="2"/>
      <c r="AQ106" s="14"/>
      <c r="AR106" s="14"/>
      <c r="AS106" s="14"/>
      <c r="AT106" s="15"/>
      <c r="AU106" s="51"/>
      <c r="AV106" s="15"/>
      <c r="AW106" s="1"/>
    </row>
    <row r="1048574" spans="43:43">
      <c r="AQ1048574" s="12">
        <f>AQ1048573-AL1048574</f>
        <v>0</v>
      </c>
    </row>
  </sheetData>
  <mergeCells count="149">
    <mergeCell ref="AV95:AW95"/>
    <mergeCell ref="AV96:AW96"/>
    <mergeCell ref="AV97:AW97"/>
    <mergeCell ref="AV98:AW98"/>
    <mergeCell ref="AV99:AW99"/>
    <mergeCell ref="AV100:AW100"/>
    <mergeCell ref="AV89:AW89"/>
    <mergeCell ref="AV90:AW90"/>
    <mergeCell ref="AV91:AW91"/>
    <mergeCell ref="AV92:AW92"/>
    <mergeCell ref="AV93:AW93"/>
    <mergeCell ref="AV94:AW94"/>
    <mergeCell ref="AV83:AW83"/>
    <mergeCell ref="AV84:AW84"/>
    <mergeCell ref="AV85:AW85"/>
    <mergeCell ref="AV86:AW86"/>
    <mergeCell ref="AV87:AW87"/>
    <mergeCell ref="AV88:AW88"/>
    <mergeCell ref="AV77:AW77"/>
    <mergeCell ref="AV78:AW78"/>
    <mergeCell ref="AV79:AW79"/>
    <mergeCell ref="AV80:AW80"/>
    <mergeCell ref="AV81:AW81"/>
    <mergeCell ref="AV82:AW82"/>
    <mergeCell ref="AV71:AW71"/>
    <mergeCell ref="AV72:AW72"/>
    <mergeCell ref="AV73:AW73"/>
    <mergeCell ref="AV74:AW74"/>
    <mergeCell ref="AV75:AW75"/>
    <mergeCell ref="AV76:AW76"/>
    <mergeCell ref="AV65:AW65"/>
    <mergeCell ref="AV66:AW66"/>
    <mergeCell ref="AV67:AW67"/>
    <mergeCell ref="AV68:AW68"/>
    <mergeCell ref="AV69:AW69"/>
    <mergeCell ref="AV70:AW70"/>
    <mergeCell ref="AV59:AW59"/>
    <mergeCell ref="AV60:AW60"/>
    <mergeCell ref="AV61:AW61"/>
    <mergeCell ref="AV62:AW62"/>
    <mergeCell ref="AV63:AW63"/>
    <mergeCell ref="AV64:AW64"/>
    <mergeCell ref="AV53:AW53"/>
    <mergeCell ref="AV54:AW54"/>
    <mergeCell ref="AV55:AW55"/>
    <mergeCell ref="AV56:AW56"/>
    <mergeCell ref="AV57:AW57"/>
    <mergeCell ref="AV58:AW58"/>
    <mergeCell ref="AV47:AW47"/>
    <mergeCell ref="AV48:AW48"/>
    <mergeCell ref="AV49:AW49"/>
    <mergeCell ref="AV50:AW50"/>
    <mergeCell ref="AV51:AW51"/>
    <mergeCell ref="AV52:AW52"/>
    <mergeCell ref="AV41:AW41"/>
    <mergeCell ref="AV42:AW42"/>
    <mergeCell ref="AV43:AW43"/>
    <mergeCell ref="AV44:AW44"/>
    <mergeCell ref="AV45:AW45"/>
    <mergeCell ref="AV46:AW46"/>
    <mergeCell ref="AV35:AW35"/>
    <mergeCell ref="AV36:AW36"/>
    <mergeCell ref="AV37:AW37"/>
    <mergeCell ref="AV38:AW38"/>
    <mergeCell ref="AV39:AW39"/>
    <mergeCell ref="AV40:AW40"/>
    <mergeCell ref="AV29:AW29"/>
    <mergeCell ref="AV30:AW30"/>
    <mergeCell ref="AV31:AW31"/>
    <mergeCell ref="AV32:AW32"/>
    <mergeCell ref="AV33:AW33"/>
    <mergeCell ref="AV34:AW34"/>
    <mergeCell ref="AV23:AW23"/>
    <mergeCell ref="AV24:AW24"/>
    <mergeCell ref="AV25:AW25"/>
    <mergeCell ref="AV26:AW26"/>
    <mergeCell ref="AV27:AW27"/>
    <mergeCell ref="AV28:AW28"/>
    <mergeCell ref="AV17:AW17"/>
    <mergeCell ref="AV18:AW18"/>
    <mergeCell ref="AV19:AW19"/>
    <mergeCell ref="AV20:AW20"/>
    <mergeCell ref="AV21:AW21"/>
    <mergeCell ref="AV22:AW22"/>
    <mergeCell ref="AV11:AW11"/>
    <mergeCell ref="AV12:AW12"/>
    <mergeCell ref="AV13:AW13"/>
    <mergeCell ref="AV14:AW14"/>
    <mergeCell ref="AV15:AW15"/>
    <mergeCell ref="AV16:AW16"/>
    <mergeCell ref="AV5:AW5"/>
    <mergeCell ref="AV6:AW6"/>
    <mergeCell ref="AV7:AW7"/>
    <mergeCell ref="AV8:AW8"/>
    <mergeCell ref="AV9:AW9"/>
    <mergeCell ref="AV10:AW10"/>
    <mergeCell ref="AN3:AN4"/>
    <mergeCell ref="AO3:AO4"/>
    <mergeCell ref="AP3:AP4"/>
    <mergeCell ref="AD3:AD4"/>
    <mergeCell ref="AE3:AE4"/>
    <mergeCell ref="AF3:AF4"/>
    <mergeCell ref="AG3:AG4"/>
    <mergeCell ref="AH3:AH4"/>
    <mergeCell ref="AI3:AI4"/>
    <mergeCell ref="AL2:AL4"/>
    <mergeCell ref="AM2:AP2"/>
    <mergeCell ref="G3:I3"/>
    <mergeCell ref="J3:L3"/>
    <mergeCell ref="M3:M4"/>
    <mergeCell ref="N3:N4"/>
    <mergeCell ref="O3:O4"/>
    <mergeCell ref="P3:P4"/>
    <mergeCell ref="AJ3:AJ4"/>
    <mergeCell ref="AK3:AK4"/>
    <mergeCell ref="AM3:AM4"/>
    <mergeCell ref="Z3:Z4"/>
    <mergeCell ref="AA3:AA4"/>
    <mergeCell ref="AC3:AC4"/>
    <mergeCell ref="Q3:Q4"/>
    <mergeCell ref="R3:R4"/>
    <mergeCell ref="S3:S4"/>
    <mergeCell ref="V3:V4"/>
    <mergeCell ref="W3:W4"/>
    <mergeCell ref="X3:X4"/>
    <mergeCell ref="A1:AW1"/>
    <mergeCell ref="A2:A4"/>
    <mergeCell ref="B2:B4"/>
    <mergeCell ref="C2:C4"/>
    <mergeCell ref="D2:D4"/>
    <mergeCell ref="E2:E4"/>
    <mergeCell ref="F2:F4"/>
    <mergeCell ref="G2:L2"/>
    <mergeCell ref="M2:Q2"/>
    <mergeCell ref="R2:S2"/>
    <mergeCell ref="AQ2:AS2"/>
    <mergeCell ref="AT2:AT4"/>
    <mergeCell ref="AU2:AU4"/>
    <mergeCell ref="AV2:AW4"/>
    <mergeCell ref="AQ3:AQ4"/>
    <mergeCell ref="AR3:AR4"/>
    <mergeCell ref="AS3:AS4"/>
    <mergeCell ref="T2:T4"/>
    <mergeCell ref="U2:U4"/>
    <mergeCell ref="V2:Z2"/>
    <mergeCell ref="AB2:AB4"/>
    <mergeCell ref="AC2:AG2"/>
    <mergeCell ref="AH2:AK2"/>
    <mergeCell ref="Y3:Y4"/>
  </mergeCells>
  <phoneticPr fontId="42" type="noConversion"/>
  <conditionalFormatting sqref="AM6:AM37">
    <cfRule type="containsText" dxfId="115" priority="44" operator="containsText" text="Pls check Quantity of each section">
      <formula>NOT(ISERROR(SEARCH("Pls check Quantity of each section",AM6)))</formula>
    </cfRule>
  </conditionalFormatting>
  <conditionalFormatting sqref="AM39:AM42 AM99:AM100 AM67 AM77:AM97 AM44 AM55:AM61 AM63:AM65">
    <cfRule type="containsText" dxfId="114" priority="45" operator="containsText" text="Pls check Quantity of each section">
      <formula>NOT(ISERROR(SEARCH("Pls check Quantity of each section",AM39)))</formula>
    </cfRule>
  </conditionalFormatting>
  <conditionalFormatting sqref="AM98">
    <cfRule type="containsText" dxfId="113" priority="43" operator="containsText" text="Pls check Quantity of each section">
      <formula>NOT(ISERROR(SEARCH("Pls check Quantity of each section",AM98)))</formula>
    </cfRule>
  </conditionalFormatting>
  <conditionalFormatting sqref="AM66">
    <cfRule type="containsText" dxfId="112" priority="42" operator="containsText" text="Pls check Quantity of each section">
      <formula>NOT(ISERROR(SEARCH("Pls check Quantity of each section",AM66)))</formula>
    </cfRule>
  </conditionalFormatting>
  <conditionalFormatting sqref="AM68">
    <cfRule type="containsText" dxfId="111" priority="41" operator="containsText" text="Pls check Quantity of each section">
      <formula>NOT(ISERROR(SEARCH("Pls check Quantity of each section",AM68)))</formula>
    </cfRule>
  </conditionalFormatting>
  <conditionalFormatting sqref="AM69">
    <cfRule type="containsText" dxfId="110" priority="40" operator="containsText" text="Pls check Quantity of each section">
      <formula>NOT(ISERROR(SEARCH("Pls check Quantity of each section",AM69)))</formula>
    </cfRule>
  </conditionalFormatting>
  <conditionalFormatting sqref="AM70">
    <cfRule type="containsText" dxfId="109" priority="39" operator="containsText" text="Pls check Quantity of each section">
      <formula>NOT(ISERROR(SEARCH("Pls check Quantity of each section",AM70)))</formula>
    </cfRule>
  </conditionalFormatting>
  <conditionalFormatting sqref="AM71">
    <cfRule type="containsText" dxfId="108" priority="38" operator="containsText" text="Pls check Quantity of each section">
      <formula>NOT(ISERROR(SEARCH("Pls check Quantity of each section",AM71)))</formula>
    </cfRule>
  </conditionalFormatting>
  <conditionalFormatting sqref="AM72">
    <cfRule type="containsText" dxfId="107" priority="37" operator="containsText" text="Pls check Quantity of each section">
      <formula>NOT(ISERROR(SEARCH("Pls check Quantity of each section",AM72)))</formula>
    </cfRule>
  </conditionalFormatting>
  <conditionalFormatting sqref="AM73">
    <cfRule type="containsText" dxfId="106" priority="36" operator="containsText" text="Pls check Quantity of each section">
      <formula>NOT(ISERROR(SEARCH("Pls check Quantity of each section",AM73)))</formula>
    </cfRule>
  </conditionalFormatting>
  <conditionalFormatting sqref="AM74">
    <cfRule type="containsText" dxfId="105" priority="35" operator="containsText" text="Pls check Quantity of each section">
      <formula>NOT(ISERROR(SEARCH("Pls check Quantity of each section",AM74)))</formula>
    </cfRule>
  </conditionalFormatting>
  <conditionalFormatting sqref="AM75">
    <cfRule type="containsText" dxfId="104" priority="34" operator="containsText" text="Pls check Quantity of each section">
      <formula>NOT(ISERROR(SEARCH("Pls check Quantity of each section",AM75)))</formula>
    </cfRule>
  </conditionalFormatting>
  <conditionalFormatting sqref="AM76">
    <cfRule type="containsText" dxfId="103" priority="33" operator="containsText" text="Pls check Quantity of each section">
      <formula>NOT(ISERROR(SEARCH("Pls check Quantity of each section",AM76)))</formula>
    </cfRule>
  </conditionalFormatting>
  <conditionalFormatting sqref="AQ11:AQ53">
    <cfRule type="containsText" dxfId="102" priority="32" operator="containsText" text="Pls check Quantity of each section">
      <formula>NOT(ISERROR(SEARCH("Pls check Quantity of each section",AQ11)))</formula>
    </cfRule>
  </conditionalFormatting>
  <conditionalFormatting sqref="AM43">
    <cfRule type="containsText" dxfId="101" priority="30" operator="containsText" text="Pls check Quantity of each section">
      <formula>NOT(ISERROR(SEARCH("Pls check Quantity of each section",AM43)))</formula>
    </cfRule>
  </conditionalFormatting>
  <conditionalFormatting sqref="AM45">
    <cfRule type="containsText" dxfId="100" priority="27" operator="containsText" text="Pls check Quantity of each section">
      <formula>NOT(ISERROR(SEARCH("Pls check Quantity of each section",AM45)))</formula>
    </cfRule>
  </conditionalFormatting>
  <conditionalFormatting sqref="AM46">
    <cfRule type="containsText" dxfId="99" priority="25" operator="containsText" text="Pls check Quantity of each section">
      <formula>NOT(ISERROR(SEARCH("Pls check Quantity of each section",AM46)))</formula>
    </cfRule>
  </conditionalFormatting>
  <conditionalFormatting sqref="AM47">
    <cfRule type="containsText" dxfId="98" priority="23" operator="containsText" text="Pls check Quantity of each section">
      <formula>NOT(ISERROR(SEARCH("Pls check Quantity of each section",AM47)))</formula>
    </cfRule>
  </conditionalFormatting>
  <conditionalFormatting sqref="AM48">
    <cfRule type="containsText" dxfId="97" priority="21" operator="containsText" text="Pls check Quantity of each section">
      <formula>NOT(ISERROR(SEARCH("Pls check Quantity of each section",AM48)))</formula>
    </cfRule>
  </conditionalFormatting>
  <conditionalFormatting sqref="AM49">
    <cfRule type="containsText" dxfId="96" priority="19" operator="containsText" text="Pls check Quantity of each section">
      <formula>NOT(ISERROR(SEARCH("Pls check Quantity of each section",AM49)))</formula>
    </cfRule>
  </conditionalFormatting>
  <conditionalFormatting sqref="AM51">
    <cfRule type="containsText" dxfId="95" priority="15" operator="containsText" text="Pls check Quantity of each section">
      <formula>NOT(ISERROR(SEARCH("Pls check Quantity of each section",AM51)))</formula>
    </cfRule>
  </conditionalFormatting>
  <conditionalFormatting sqref="AM52">
    <cfRule type="containsText" dxfId="94" priority="13" operator="containsText" text="Pls check Quantity of each section">
      <formula>NOT(ISERROR(SEARCH("Pls check Quantity of each section",AM52)))</formula>
    </cfRule>
  </conditionalFormatting>
  <conditionalFormatting sqref="AM53">
    <cfRule type="containsText" dxfId="93" priority="11" operator="containsText" text="Pls check Quantity of each section">
      <formula>NOT(ISERROR(SEARCH("Pls check Quantity of each section",AM53)))</formula>
    </cfRule>
  </conditionalFormatting>
  <conditionalFormatting sqref="AM54">
    <cfRule type="containsText" dxfId="92" priority="8" operator="containsText" text="Pls check Quantity of each section">
      <formula>NOT(ISERROR(SEARCH("Pls check Quantity of each section",AM54)))</formula>
    </cfRule>
  </conditionalFormatting>
  <conditionalFormatting sqref="AQ54:AQ75">
    <cfRule type="containsText" dxfId="91" priority="7" operator="containsText" text="Pls check Quantity of each section">
      <formula>NOT(ISERROR(SEARCH("Pls check Quantity of each section",AQ54)))</formula>
    </cfRule>
  </conditionalFormatting>
  <conditionalFormatting sqref="AM62">
    <cfRule type="containsText" dxfId="90" priority="6" operator="containsText" text="Pls check Quantity of each section">
      <formula>NOT(ISERROR(SEARCH("Pls check Quantity of each section",AM62)))</formula>
    </cfRule>
  </conditionalFormatting>
  <conditionalFormatting sqref="AQ76:AQ101">
    <cfRule type="containsText" dxfId="89" priority="5" operator="containsText" text="Pls check Quantity of each section">
      <formula>NOT(ISERROR(SEARCH("Pls check Quantity of each section",AQ76)))</formula>
    </cfRule>
  </conditionalFormatting>
  <conditionalFormatting sqref="AM5">
    <cfRule type="containsText" dxfId="88" priority="4" operator="containsText" text="Pls check Quantity of each section">
      <formula>NOT(ISERROR(SEARCH("Pls check Quantity of each section",AM5)))</formula>
    </cfRule>
  </conditionalFormatting>
  <conditionalFormatting sqref="AQ5:AQ10">
    <cfRule type="containsText" dxfId="87" priority="3" operator="containsText" text="Pls check Quantity of each section">
      <formula>NOT(ISERROR(SEARCH("Pls check Quantity of each section",AQ5)))</formula>
    </cfRule>
  </conditionalFormatting>
  <conditionalFormatting sqref="AM50">
    <cfRule type="containsText" dxfId="86" priority="1" operator="containsText" text="Pls check Quantity of each section">
      <formula>NOT(ISERROR(SEARCH("Pls check Quantity of each section",AM50)))</formula>
    </cfRule>
  </conditionalFormatting>
  <dataValidations count="15">
    <dataValidation type="decimal" allowBlank="1" showInputMessage="1" showErrorMessage="1" sqref="AA5:AA100" xr:uid="{00000000-0002-0000-0000-000000000000}">
      <formula1>0</formula1>
      <formula2>625</formula2>
    </dataValidation>
    <dataValidation type="list" operator="equal" allowBlank="1" showInputMessage="1" showErrorMessage="1" sqref="M5:M100" xr:uid="{00000000-0002-0000-0000-000001000000}">
      <formula1>"A,B,C,D,E,F,G,H,L,M,O,P,Q,R,S,T,U,V,W,X,Z"</formula1>
    </dataValidation>
    <dataValidation type="list" operator="equal" allowBlank="1" showInputMessage="1" showErrorMessage="1" sqref="L5:L100" xr:uid="{00000000-0002-0000-0000-000002000000}">
      <formula1>"E,W"</formula1>
    </dataValidation>
    <dataValidation type="list" operator="equal" allowBlank="1" showInputMessage="1" showErrorMessage="1" sqref="I5:I100" xr:uid="{00000000-0002-0000-0000-000003000000}">
      <formula1>"N,S"</formula1>
    </dataValidation>
    <dataValidation type="decimal" allowBlank="1" showInputMessage="1" showErrorMessage="1" sqref="F5:F100" xr:uid="{00000000-0002-0000-0000-000004000000}">
      <formula1>-11</formula1>
      <formula2>13</formula2>
    </dataValidation>
    <dataValidation type="decimal" allowBlank="1" showInputMessage="1" showErrorMessage="1" sqref="K5:K100 H5:H100" xr:uid="{00000000-0002-0000-0000-000005000000}">
      <formula1>0</formula1>
      <formula2>60</formula2>
    </dataValidation>
    <dataValidation type="whole" allowBlank="1" showInputMessage="1" showErrorMessage="1" sqref="G5:G100" xr:uid="{00000000-0002-0000-0000-000006000000}">
      <formula1>0</formula1>
      <formula2>90</formula2>
    </dataValidation>
    <dataValidation type="whole" allowBlank="1" showInputMessage="1" showErrorMessage="1" sqref="J5:J100" xr:uid="{00000000-0002-0000-0000-000007000000}">
      <formula1>0</formula1>
      <formula2>180</formula2>
    </dataValidation>
    <dataValidation type="list" allowBlank="1" showInputMessage="1" showErrorMessage="1" sqref="Q5:Q100" xr:uid="{00000000-0002-0000-0000-000008000000}">
      <formula1>"0,1,2,3,4,5,6,7,8"</formula1>
    </dataValidation>
    <dataValidation type="list" allowBlank="1" showInputMessage="1" showErrorMessage="1" sqref="P5:P100" xr:uid="{00000000-0002-0000-0000-000009000000}">
      <formula1>"0,1,2,3,4,5,6,7,8,9"</formula1>
    </dataValidation>
    <dataValidation type="list" allowBlank="1" showInputMessage="1" showErrorMessage="1" sqref="O5:O100" xr:uid="{00000000-0002-0000-0000-00000A000000}">
      <formula1>"0,1,2,3,4,5,6,7,8,9,10,11,12,13,14,15,16,17"</formula1>
    </dataValidation>
    <dataValidation type="list" allowBlank="1" showInputMessage="1" showErrorMessage="1" sqref="N5:N100" xr:uid="{00000000-0002-0000-0000-00000B000000}">
      <formula1>"0,1,2,3,4,5,6,7,8,9,10,11,12,13,14,15"</formula1>
    </dataValidation>
    <dataValidation type="decimal" allowBlank="1" showInputMessage="1" showErrorMessage="1" sqref="AB5:AB100 S5:S100" xr:uid="{00000000-0002-0000-0000-00000C000000}">
      <formula1>0</formula1>
      <formula2>30</formula2>
    </dataValidation>
    <dataValidation type="decimal" allowBlank="1" showInputMessage="1" showErrorMessage="1" sqref="AQ1048574:AQ1048576 AI28 AH26:AI27 AH29:AI36 AJ26:AJ37 AH97:AL100 AH6:AK25 AH78:AJ96 AI5:AL5 AL6:AL10 AQ101 U5:U100 AH37:AH77 AK26:AK96 AI38:AJ77 AL14:AL96 AM5:AS100" xr:uid="{00000000-0002-0000-0000-00000D000000}">
      <formula1>0</formula1>
      <formula2>100000</formula2>
    </dataValidation>
    <dataValidation type="decimal" allowBlank="1" showInputMessage="1" showErrorMessage="1" sqref="V5:Z100" xr:uid="{00000000-0002-0000-0000-00000E000000}">
      <formula1>0</formula1>
      <formula2>25</formula2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X1048574"/>
  <sheetViews>
    <sheetView zoomScale="85" zoomScaleNormal="85" zoomScaleSheetLayoutView="70" workbookViewId="0">
      <pane xSplit="5" ySplit="4" topLeftCell="AG100" activePane="bottomRight" state="frozen"/>
      <selection pane="topRight" activeCell="F1" sqref="F1"/>
      <selection pane="bottomLeft" activeCell="A5" sqref="A5"/>
      <selection pane="bottomRight" activeCell="A59" sqref="A59:XFD59"/>
    </sheetView>
  </sheetViews>
  <sheetFormatPr defaultColWidth="9" defaultRowHeight="13.5"/>
  <cols>
    <col min="1" max="1" width="15.54296875" style="1" customWidth="1"/>
    <col min="2" max="2" width="14" style="1" customWidth="1"/>
    <col min="3" max="3" width="13.54296875" style="1" customWidth="1"/>
    <col min="4" max="4" width="14.453125" style="1" customWidth="1"/>
    <col min="5" max="5" width="17" style="3" customWidth="1"/>
    <col min="6" max="6" width="18.1796875" style="3" customWidth="1"/>
    <col min="7" max="7" width="6.54296875" style="6" customWidth="1"/>
    <col min="8" max="9" width="6.54296875" style="5" customWidth="1"/>
    <col min="10" max="10" width="6.54296875" style="6" customWidth="1"/>
    <col min="11" max="11" width="6.54296875" style="5" customWidth="1"/>
    <col min="12" max="12" width="5.54296875" style="5" customWidth="1"/>
    <col min="13" max="13" width="8.453125" style="5" customWidth="1"/>
    <col min="14" max="14" width="9.54296875" style="5" customWidth="1"/>
    <col min="15" max="17" width="6.54296875" style="5" customWidth="1"/>
    <col min="18" max="19" width="6.54296875" style="1" customWidth="1"/>
    <col min="20" max="20" width="7.54296875" style="1" customWidth="1"/>
    <col min="21" max="21" width="13.453125" style="1" customWidth="1"/>
    <col min="22" max="22" width="6.54296875" style="1" customWidth="1"/>
    <col min="23" max="23" width="12.453125" style="1" customWidth="1"/>
    <col min="24" max="26" width="10.54296875" style="1" customWidth="1"/>
    <col min="27" max="27" width="10.54296875" style="5" customWidth="1"/>
    <col min="28" max="28" width="8.54296875" style="5" customWidth="1"/>
    <col min="29" max="29" width="13" style="5" customWidth="1"/>
    <col min="30" max="31" width="15" style="6" customWidth="1"/>
    <col min="32" max="32" width="11.453125" style="6" customWidth="1"/>
    <col min="33" max="33" width="10.453125" style="6" customWidth="1"/>
    <col min="34" max="37" width="23.453125" style="2" customWidth="1"/>
    <col min="38" max="38" width="16.54296875" style="2" customWidth="1"/>
    <col min="39" max="42" width="8.54296875" style="2" customWidth="1"/>
    <col min="43" max="43" width="10.54296875" style="14" bestFit="1" customWidth="1"/>
    <col min="44" max="45" width="8.54296875" style="14" customWidth="1"/>
    <col min="46" max="46" width="15" style="15" hidden="1" customWidth="1"/>
    <col min="47" max="47" width="15" style="51" customWidth="1"/>
    <col min="48" max="48" width="10.453125" style="15" customWidth="1"/>
    <col min="49" max="49" width="19.453125" style="1" customWidth="1"/>
    <col min="50" max="16384" width="9" style="1"/>
  </cols>
  <sheetData>
    <row r="1" spans="1:49" ht="28.4" customHeight="1">
      <c r="A1" s="82" t="s">
        <v>110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4"/>
      <c r="AE1" s="84"/>
      <c r="AF1" s="84"/>
      <c r="AG1" s="84"/>
      <c r="AH1" s="84"/>
      <c r="AI1" s="84"/>
      <c r="AJ1" s="84"/>
      <c r="AK1" s="84"/>
      <c r="AL1" s="84"/>
      <c r="AM1" s="84"/>
      <c r="AN1" s="84"/>
      <c r="AO1" s="84"/>
      <c r="AP1" s="84"/>
      <c r="AQ1" s="84"/>
      <c r="AR1" s="84"/>
      <c r="AS1" s="84"/>
      <c r="AT1" s="84"/>
      <c r="AU1" s="84"/>
      <c r="AV1" s="84"/>
      <c r="AW1" s="84"/>
    </row>
    <row r="2" spans="1:49" s="2" customFormat="1" ht="53.25" customHeight="1">
      <c r="A2" s="85" t="s">
        <v>14</v>
      </c>
      <c r="B2" s="85" t="s">
        <v>0</v>
      </c>
      <c r="C2" s="86" t="s">
        <v>27</v>
      </c>
      <c r="D2" s="86" t="s">
        <v>28</v>
      </c>
      <c r="E2" s="87" t="s">
        <v>25</v>
      </c>
      <c r="F2" s="89" t="s">
        <v>26</v>
      </c>
      <c r="G2" s="92" t="s">
        <v>1</v>
      </c>
      <c r="H2" s="93"/>
      <c r="I2" s="93"/>
      <c r="J2" s="93"/>
      <c r="K2" s="94"/>
      <c r="L2" s="95"/>
      <c r="M2" s="96" t="s">
        <v>15</v>
      </c>
      <c r="N2" s="97"/>
      <c r="O2" s="97"/>
      <c r="P2" s="97"/>
      <c r="Q2" s="98"/>
      <c r="R2" s="99" t="s">
        <v>19</v>
      </c>
      <c r="S2" s="99"/>
      <c r="T2" s="89" t="s">
        <v>7</v>
      </c>
      <c r="U2" s="116" t="s">
        <v>95</v>
      </c>
      <c r="V2" s="117" t="s">
        <v>37</v>
      </c>
      <c r="W2" s="118"/>
      <c r="X2" s="118"/>
      <c r="Y2" s="118"/>
      <c r="Z2" s="119"/>
      <c r="AA2" s="39" t="s">
        <v>20</v>
      </c>
      <c r="AB2" s="111" t="s">
        <v>111</v>
      </c>
      <c r="AC2" s="120" t="s">
        <v>105</v>
      </c>
      <c r="AD2" s="121"/>
      <c r="AE2" s="121"/>
      <c r="AF2" s="121"/>
      <c r="AG2" s="119"/>
      <c r="AH2" s="117" t="s">
        <v>98</v>
      </c>
      <c r="AI2" s="121"/>
      <c r="AJ2" s="121"/>
      <c r="AK2" s="119"/>
      <c r="AL2" s="126" t="s">
        <v>30</v>
      </c>
      <c r="AM2" s="134" t="s">
        <v>31</v>
      </c>
      <c r="AN2" s="135"/>
      <c r="AO2" s="135"/>
      <c r="AP2" s="135"/>
      <c r="AQ2" s="100" t="s">
        <v>34</v>
      </c>
      <c r="AR2" s="101"/>
      <c r="AS2" s="100"/>
      <c r="AT2" s="102" t="s">
        <v>39</v>
      </c>
      <c r="AU2" s="102" t="s">
        <v>39</v>
      </c>
      <c r="AV2" s="105" t="s">
        <v>35</v>
      </c>
      <c r="AW2" s="106"/>
    </row>
    <row r="3" spans="1:49" s="2" customFormat="1" ht="34.5" customHeight="1">
      <c r="A3" s="85"/>
      <c r="B3" s="85"/>
      <c r="C3" s="86"/>
      <c r="D3" s="86"/>
      <c r="E3" s="87"/>
      <c r="F3" s="90"/>
      <c r="G3" s="92" t="s">
        <v>21</v>
      </c>
      <c r="H3" s="93"/>
      <c r="I3" s="95"/>
      <c r="J3" s="92" t="s">
        <v>13</v>
      </c>
      <c r="K3" s="93"/>
      <c r="L3" s="95"/>
      <c r="M3" s="124" t="s">
        <v>15</v>
      </c>
      <c r="N3" s="111" t="s">
        <v>9</v>
      </c>
      <c r="O3" s="111" t="s">
        <v>22</v>
      </c>
      <c r="P3" s="111" t="s">
        <v>10</v>
      </c>
      <c r="Q3" s="111" t="s">
        <v>16</v>
      </c>
      <c r="R3" s="111" t="s">
        <v>23</v>
      </c>
      <c r="S3" s="111" t="s">
        <v>24</v>
      </c>
      <c r="T3" s="114"/>
      <c r="U3" s="103"/>
      <c r="V3" s="111" t="s">
        <v>11</v>
      </c>
      <c r="W3" s="111" t="s">
        <v>97</v>
      </c>
      <c r="X3" s="111" t="s">
        <v>29</v>
      </c>
      <c r="Y3" s="122" t="s">
        <v>106</v>
      </c>
      <c r="Z3" s="122" t="s">
        <v>107</v>
      </c>
      <c r="AA3" s="111" t="s">
        <v>97</v>
      </c>
      <c r="AB3" s="103"/>
      <c r="AC3" s="128" t="s">
        <v>101</v>
      </c>
      <c r="AD3" s="129" t="s">
        <v>102</v>
      </c>
      <c r="AE3" s="130" t="s">
        <v>112</v>
      </c>
      <c r="AF3" s="129" t="s">
        <v>103</v>
      </c>
      <c r="AG3" s="129" t="s">
        <v>104</v>
      </c>
      <c r="AH3" s="126" t="s">
        <v>99</v>
      </c>
      <c r="AI3" s="129" t="s">
        <v>100</v>
      </c>
      <c r="AJ3" s="126" t="s">
        <v>108</v>
      </c>
      <c r="AK3" s="111" t="s">
        <v>109</v>
      </c>
      <c r="AL3" s="132"/>
      <c r="AM3" s="127" t="s">
        <v>3</v>
      </c>
      <c r="AN3" s="113" t="s">
        <v>4</v>
      </c>
      <c r="AO3" s="113" t="s">
        <v>32</v>
      </c>
      <c r="AP3" s="113" t="s">
        <v>33</v>
      </c>
      <c r="AQ3" s="111" t="s">
        <v>3</v>
      </c>
      <c r="AR3" s="113" t="s">
        <v>32</v>
      </c>
      <c r="AS3" s="113" t="s">
        <v>36</v>
      </c>
      <c r="AT3" s="103"/>
      <c r="AU3" s="90"/>
      <c r="AV3" s="107"/>
      <c r="AW3" s="108"/>
    </row>
    <row r="4" spans="1:49" s="2" customFormat="1" ht="182.25" customHeight="1">
      <c r="A4" s="85"/>
      <c r="B4" s="85"/>
      <c r="C4" s="86"/>
      <c r="D4" s="86"/>
      <c r="E4" s="88"/>
      <c r="F4" s="91"/>
      <c r="G4" s="22" t="s">
        <v>17</v>
      </c>
      <c r="H4" s="22" t="s">
        <v>8</v>
      </c>
      <c r="I4" s="22" t="s">
        <v>18</v>
      </c>
      <c r="J4" s="22" t="s">
        <v>17</v>
      </c>
      <c r="K4" s="22" t="s">
        <v>8</v>
      </c>
      <c r="L4" s="22" t="s">
        <v>12</v>
      </c>
      <c r="M4" s="125"/>
      <c r="N4" s="112"/>
      <c r="O4" s="112"/>
      <c r="P4" s="112"/>
      <c r="Q4" s="112"/>
      <c r="R4" s="112"/>
      <c r="S4" s="112"/>
      <c r="T4" s="115"/>
      <c r="U4" s="104"/>
      <c r="V4" s="112" t="s">
        <v>11</v>
      </c>
      <c r="W4" s="104"/>
      <c r="X4" s="112"/>
      <c r="Y4" s="123"/>
      <c r="Z4" s="123"/>
      <c r="AA4" s="104"/>
      <c r="AB4" s="104"/>
      <c r="AC4" s="129"/>
      <c r="AD4" s="129"/>
      <c r="AE4" s="104"/>
      <c r="AF4" s="129"/>
      <c r="AG4" s="129"/>
      <c r="AH4" s="104"/>
      <c r="AI4" s="131"/>
      <c r="AJ4" s="123"/>
      <c r="AK4" s="112" t="s">
        <v>2</v>
      </c>
      <c r="AL4" s="133"/>
      <c r="AM4" s="112" t="s">
        <v>3</v>
      </c>
      <c r="AN4" s="91" t="s">
        <v>4</v>
      </c>
      <c r="AO4" s="91" t="s">
        <v>5</v>
      </c>
      <c r="AP4" s="91" t="s">
        <v>6</v>
      </c>
      <c r="AQ4" s="112" t="s">
        <v>3</v>
      </c>
      <c r="AR4" s="91" t="s">
        <v>5</v>
      </c>
      <c r="AS4" s="91" t="s">
        <v>5</v>
      </c>
      <c r="AT4" s="104"/>
      <c r="AU4" s="91"/>
      <c r="AV4" s="109"/>
      <c r="AW4" s="110"/>
    </row>
    <row r="5" spans="1:49" s="4" customFormat="1" ht="19.399999999999999" customHeight="1">
      <c r="A5" s="18" t="s">
        <v>134</v>
      </c>
      <c r="B5" s="18" t="s">
        <v>757</v>
      </c>
      <c r="C5" s="19" t="s">
        <v>710</v>
      </c>
      <c r="D5" s="19" t="s">
        <v>710</v>
      </c>
      <c r="E5" s="19" t="s">
        <v>768</v>
      </c>
      <c r="F5" s="58">
        <v>8</v>
      </c>
      <c r="G5" s="43">
        <v>22</v>
      </c>
      <c r="H5" s="44">
        <v>58.6</v>
      </c>
      <c r="I5" s="44" t="s">
        <v>38</v>
      </c>
      <c r="J5" s="43">
        <v>120</v>
      </c>
      <c r="K5" s="44">
        <v>10.5</v>
      </c>
      <c r="L5" s="44" t="s">
        <v>122</v>
      </c>
      <c r="M5" s="43" t="s">
        <v>115</v>
      </c>
      <c r="N5" s="45">
        <v>1</v>
      </c>
      <c r="O5" s="45">
        <v>2</v>
      </c>
      <c r="P5" s="45">
        <v>1</v>
      </c>
      <c r="Q5" s="45">
        <v>1</v>
      </c>
      <c r="R5" s="46">
        <v>4.05</v>
      </c>
      <c r="S5" s="46">
        <v>4.2</v>
      </c>
      <c r="T5" s="46">
        <v>345</v>
      </c>
      <c r="U5" s="47">
        <v>3054</v>
      </c>
      <c r="V5" s="23">
        <v>24</v>
      </c>
      <c r="W5" s="38">
        <v>0</v>
      </c>
      <c r="X5" s="38">
        <v>0</v>
      </c>
      <c r="Y5" s="38">
        <v>24</v>
      </c>
      <c r="Z5" s="38">
        <v>0</v>
      </c>
      <c r="AA5" s="44">
        <v>0</v>
      </c>
      <c r="AB5" s="44">
        <v>0</v>
      </c>
      <c r="AC5" s="52" t="s">
        <v>119</v>
      </c>
      <c r="AD5" s="74">
        <v>140</v>
      </c>
      <c r="AE5" s="40"/>
      <c r="AF5" s="40">
        <v>0</v>
      </c>
      <c r="AG5" s="19">
        <v>0</v>
      </c>
      <c r="AH5" s="21">
        <v>0</v>
      </c>
      <c r="AI5" s="21">
        <v>0</v>
      </c>
      <c r="AJ5" s="21">
        <v>1.3</v>
      </c>
      <c r="AK5" s="21">
        <v>0</v>
      </c>
      <c r="AL5" s="76">
        <f t="shared" ref="AL5" si="0">SUM(AH5:AK5)</f>
        <v>1.3</v>
      </c>
      <c r="AM5" s="75"/>
      <c r="AN5" s="75"/>
      <c r="AO5" s="75"/>
      <c r="AP5" s="75"/>
      <c r="AQ5" s="56">
        <v>258.3</v>
      </c>
      <c r="AR5" s="38"/>
      <c r="AS5" s="38">
        <v>227</v>
      </c>
      <c r="AT5" s="72"/>
      <c r="AU5" s="73"/>
      <c r="AV5" s="138"/>
      <c r="AW5" s="138"/>
    </row>
    <row r="6" spans="1:49" s="4" customFormat="1" ht="19.399999999999999" customHeight="1">
      <c r="A6" s="18" t="s">
        <v>134</v>
      </c>
      <c r="B6" s="18" t="s">
        <v>757</v>
      </c>
      <c r="C6" s="19" t="s">
        <v>710</v>
      </c>
      <c r="D6" s="19" t="s">
        <v>710</v>
      </c>
      <c r="E6" s="19" t="s">
        <v>769</v>
      </c>
      <c r="F6" s="58">
        <v>8</v>
      </c>
      <c r="G6" s="43">
        <v>22</v>
      </c>
      <c r="H6" s="44">
        <v>58.6</v>
      </c>
      <c r="I6" s="44" t="s">
        <v>38</v>
      </c>
      <c r="J6" s="43">
        <v>120</v>
      </c>
      <c r="K6" s="44">
        <v>10.5</v>
      </c>
      <c r="L6" s="44" t="s">
        <v>122</v>
      </c>
      <c r="M6" s="43" t="s">
        <v>115</v>
      </c>
      <c r="N6" s="45">
        <v>1</v>
      </c>
      <c r="O6" s="45">
        <v>3</v>
      </c>
      <c r="P6" s="45">
        <v>1</v>
      </c>
      <c r="Q6" s="45">
        <v>1</v>
      </c>
      <c r="R6" s="46">
        <v>4.05</v>
      </c>
      <c r="S6" s="46">
        <v>4.2</v>
      </c>
      <c r="T6" s="46">
        <v>345</v>
      </c>
      <c r="U6" s="47">
        <v>3054</v>
      </c>
      <c r="V6" s="23">
        <v>24</v>
      </c>
      <c r="W6" s="38">
        <v>0</v>
      </c>
      <c r="X6" s="38">
        <v>0</v>
      </c>
      <c r="Y6" s="38">
        <v>24</v>
      </c>
      <c r="Z6" s="38">
        <v>0</v>
      </c>
      <c r="AA6" s="44">
        <v>0</v>
      </c>
      <c r="AB6" s="44">
        <v>0</v>
      </c>
      <c r="AC6" s="52" t="s">
        <v>119</v>
      </c>
      <c r="AD6" s="19">
        <v>138</v>
      </c>
      <c r="AE6" s="40"/>
      <c r="AF6" s="40">
        <v>0</v>
      </c>
      <c r="AG6" s="19">
        <v>0</v>
      </c>
      <c r="AH6" s="21">
        <v>0</v>
      </c>
      <c r="AI6" s="21">
        <v>0</v>
      </c>
      <c r="AJ6" s="21">
        <v>1.3</v>
      </c>
      <c r="AK6" s="21">
        <v>0</v>
      </c>
      <c r="AL6" s="24">
        <f t="shared" ref="AL6:AL42" si="1">SUM(AH6:AK6)</f>
        <v>1.3</v>
      </c>
      <c r="AM6" s="12"/>
      <c r="AN6" s="12"/>
      <c r="AO6" s="12"/>
      <c r="AP6" s="12"/>
      <c r="AQ6" s="55">
        <f t="shared" ref="AQ6:AQ42" si="2">AQ5-AL6</f>
        <v>257</v>
      </c>
      <c r="AR6" s="21"/>
      <c r="AS6" s="12">
        <v>222</v>
      </c>
      <c r="AT6" s="26"/>
      <c r="AU6" s="49"/>
      <c r="AV6" s="136"/>
      <c r="AW6" s="137"/>
    </row>
    <row r="7" spans="1:49" s="4" customFormat="1" ht="19.399999999999999" customHeight="1">
      <c r="A7" s="18" t="s">
        <v>134</v>
      </c>
      <c r="B7" s="18" t="s">
        <v>757</v>
      </c>
      <c r="C7" s="19" t="s">
        <v>710</v>
      </c>
      <c r="D7" s="19" t="s">
        <v>710</v>
      </c>
      <c r="E7" s="19" t="s">
        <v>770</v>
      </c>
      <c r="F7" s="58">
        <v>8</v>
      </c>
      <c r="G7" s="43">
        <v>22</v>
      </c>
      <c r="H7" s="44">
        <v>58.6</v>
      </c>
      <c r="I7" s="44" t="s">
        <v>38</v>
      </c>
      <c r="J7" s="43">
        <v>120</v>
      </c>
      <c r="K7" s="44">
        <v>10.5</v>
      </c>
      <c r="L7" s="44" t="s">
        <v>122</v>
      </c>
      <c r="M7" s="43" t="s">
        <v>115</v>
      </c>
      <c r="N7" s="45">
        <v>1</v>
      </c>
      <c r="O7" s="45">
        <v>3</v>
      </c>
      <c r="P7" s="45">
        <v>1</v>
      </c>
      <c r="Q7" s="45">
        <v>1</v>
      </c>
      <c r="R7" s="46">
        <v>4.05</v>
      </c>
      <c r="S7" s="46">
        <v>4.2</v>
      </c>
      <c r="T7" s="46">
        <v>345</v>
      </c>
      <c r="U7" s="47">
        <v>3054</v>
      </c>
      <c r="V7" s="23">
        <v>24</v>
      </c>
      <c r="W7" s="38">
        <v>0</v>
      </c>
      <c r="X7" s="38">
        <v>0</v>
      </c>
      <c r="Y7" s="38">
        <v>24</v>
      </c>
      <c r="Z7" s="38">
        <v>0</v>
      </c>
      <c r="AA7" s="44">
        <v>0</v>
      </c>
      <c r="AB7" s="44">
        <v>0</v>
      </c>
      <c r="AC7" s="52" t="s">
        <v>119</v>
      </c>
      <c r="AD7" s="19">
        <v>186</v>
      </c>
      <c r="AE7" s="40"/>
      <c r="AF7" s="40">
        <v>0</v>
      </c>
      <c r="AG7" s="19">
        <v>0</v>
      </c>
      <c r="AH7" s="21">
        <v>0</v>
      </c>
      <c r="AI7" s="21">
        <v>0</v>
      </c>
      <c r="AJ7" s="21">
        <v>1.3</v>
      </c>
      <c r="AK7" s="21">
        <v>0</v>
      </c>
      <c r="AL7" s="24">
        <f t="shared" si="1"/>
        <v>1.3</v>
      </c>
      <c r="AM7" s="12"/>
      <c r="AN7" s="12"/>
      <c r="AO7" s="12"/>
      <c r="AP7" s="12"/>
      <c r="AQ7" s="55">
        <f t="shared" si="2"/>
        <v>255.7</v>
      </c>
      <c r="AR7" s="21"/>
      <c r="AS7" s="12">
        <v>218</v>
      </c>
      <c r="AT7" s="26"/>
      <c r="AU7" s="49"/>
      <c r="AV7" s="136"/>
      <c r="AW7" s="137"/>
    </row>
    <row r="8" spans="1:49" s="4" customFormat="1" ht="19.399999999999999" customHeight="1">
      <c r="A8" s="18" t="s">
        <v>134</v>
      </c>
      <c r="B8" s="18" t="s">
        <v>757</v>
      </c>
      <c r="C8" s="19" t="s">
        <v>710</v>
      </c>
      <c r="D8" s="19" t="s">
        <v>710</v>
      </c>
      <c r="E8" s="19" t="s">
        <v>771</v>
      </c>
      <c r="F8" s="58">
        <v>8</v>
      </c>
      <c r="G8" s="43">
        <v>22</v>
      </c>
      <c r="H8" s="44">
        <v>58.6</v>
      </c>
      <c r="I8" s="44" t="s">
        <v>38</v>
      </c>
      <c r="J8" s="43">
        <v>120</v>
      </c>
      <c r="K8" s="44">
        <v>10.5</v>
      </c>
      <c r="L8" s="44" t="s">
        <v>122</v>
      </c>
      <c r="M8" s="43" t="s">
        <v>115</v>
      </c>
      <c r="N8" s="45">
        <v>1</v>
      </c>
      <c r="O8" s="45">
        <v>3</v>
      </c>
      <c r="P8" s="45">
        <v>1</v>
      </c>
      <c r="Q8" s="45">
        <v>1</v>
      </c>
      <c r="R8" s="46">
        <v>4.05</v>
      </c>
      <c r="S8" s="46">
        <v>4.2</v>
      </c>
      <c r="T8" s="46">
        <v>345</v>
      </c>
      <c r="U8" s="47">
        <v>3054</v>
      </c>
      <c r="V8" s="23">
        <v>24</v>
      </c>
      <c r="W8" s="38">
        <v>0</v>
      </c>
      <c r="X8" s="38">
        <v>0</v>
      </c>
      <c r="Y8" s="38">
        <v>24</v>
      </c>
      <c r="Z8" s="38">
        <v>0</v>
      </c>
      <c r="AA8" s="44">
        <v>0</v>
      </c>
      <c r="AB8" s="44">
        <v>0</v>
      </c>
      <c r="AC8" s="52" t="s">
        <v>119</v>
      </c>
      <c r="AD8" s="19">
        <v>133</v>
      </c>
      <c r="AE8" s="40"/>
      <c r="AF8" s="40">
        <v>0</v>
      </c>
      <c r="AG8" s="19">
        <v>0</v>
      </c>
      <c r="AH8" s="21">
        <v>0</v>
      </c>
      <c r="AI8" s="21">
        <v>0</v>
      </c>
      <c r="AJ8" s="21">
        <v>1.3</v>
      </c>
      <c r="AK8" s="21">
        <v>0</v>
      </c>
      <c r="AL8" s="24">
        <f t="shared" si="1"/>
        <v>1.3</v>
      </c>
      <c r="AM8" s="12"/>
      <c r="AN8" s="12"/>
      <c r="AO8" s="12"/>
      <c r="AP8" s="12"/>
      <c r="AQ8" s="55">
        <f t="shared" si="2"/>
        <v>254.39999999999998</v>
      </c>
      <c r="AR8" s="21"/>
      <c r="AS8" s="12">
        <v>215</v>
      </c>
      <c r="AT8" s="26"/>
      <c r="AU8" s="49"/>
      <c r="AV8" s="136"/>
      <c r="AW8" s="137"/>
    </row>
    <row r="9" spans="1:49" s="4" customFormat="1" ht="19.399999999999999" customHeight="1">
      <c r="A9" s="18" t="s">
        <v>134</v>
      </c>
      <c r="B9" s="18" t="s">
        <v>757</v>
      </c>
      <c r="C9" s="19" t="s">
        <v>710</v>
      </c>
      <c r="D9" s="19" t="s">
        <v>710</v>
      </c>
      <c r="E9" s="19" t="s">
        <v>772</v>
      </c>
      <c r="F9" s="58">
        <v>8</v>
      </c>
      <c r="G9" s="43">
        <v>22</v>
      </c>
      <c r="H9" s="44">
        <v>58.6</v>
      </c>
      <c r="I9" s="44" t="s">
        <v>38</v>
      </c>
      <c r="J9" s="43">
        <v>120</v>
      </c>
      <c r="K9" s="44">
        <v>10.5</v>
      </c>
      <c r="L9" s="44" t="s">
        <v>122</v>
      </c>
      <c r="M9" s="43" t="s">
        <v>115</v>
      </c>
      <c r="N9" s="45">
        <v>1</v>
      </c>
      <c r="O9" s="45">
        <v>3</v>
      </c>
      <c r="P9" s="45">
        <v>1</v>
      </c>
      <c r="Q9" s="45">
        <v>1</v>
      </c>
      <c r="R9" s="46">
        <v>4.05</v>
      </c>
      <c r="S9" s="46">
        <v>4.2</v>
      </c>
      <c r="T9" s="46">
        <v>345</v>
      </c>
      <c r="U9" s="47">
        <v>3054</v>
      </c>
      <c r="V9" s="23">
        <v>24</v>
      </c>
      <c r="W9" s="38">
        <v>0</v>
      </c>
      <c r="X9" s="38">
        <v>0</v>
      </c>
      <c r="Y9" s="38">
        <v>24</v>
      </c>
      <c r="Z9" s="38">
        <v>0</v>
      </c>
      <c r="AA9" s="44">
        <v>0</v>
      </c>
      <c r="AB9" s="44">
        <v>0</v>
      </c>
      <c r="AC9" s="52" t="s">
        <v>119</v>
      </c>
      <c r="AD9" s="19">
        <v>181</v>
      </c>
      <c r="AE9" s="40"/>
      <c r="AF9" s="40">
        <v>0</v>
      </c>
      <c r="AG9" s="19">
        <v>0</v>
      </c>
      <c r="AH9" s="21">
        <v>0</v>
      </c>
      <c r="AI9" s="21">
        <v>0</v>
      </c>
      <c r="AJ9" s="21">
        <v>1.3</v>
      </c>
      <c r="AK9" s="21">
        <v>0</v>
      </c>
      <c r="AL9" s="24">
        <f t="shared" si="1"/>
        <v>1.3</v>
      </c>
      <c r="AM9" s="12"/>
      <c r="AN9" s="12"/>
      <c r="AO9" s="12"/>
      <c r="AP9" s="12"/>
      <c r="AQ9" s="55">
        <f t="shared" si="2"/>
        <v>253.09999999999997</v>
      </c>
      <c r="AR9" s="21"/>
      <c r="AS9" s="12">
        <v>210</v>
      </c>
      <c r="AT9" s="26"/>
      <c r="AU9" s="49"/>
      <c r="AV9" s="136"/>
      <c r="AW9" s="137"/>
    </row>
    <row r="10" spans="1:49" s="4" customFormat="1" ht="19.399999999999999" customHeight="1">
      <c r="A10" s="18" t="s">
        <v>134</v>
      </c>
      <c r="B10" s="18" t="s">
        <v>757</v>
      </c>
      <c r="C10" s="19" t="s">
        <v>710</v>
      </c>
      <c r="D10" s="19" t="s">
        <v>710</v>
      </c>
      <c r="E10" s="19" t="s">
        <v>773</v>
      </c>
      <c r="F10" s="58">
        <v>8</v>
      </c>
      <c r="G10" s="43">
        <v>22</v>
      </c>
      <c r="H10" s="44">
        <v>58.6</v>
      </c>
      <c r="I10" s="44" t="s">
        <v>38</v>
      </c>
      <c r="J10" s="43">
        <v>120</v>
      </c>
      <c r="K10" s="44">
        <v>10.5</v>
      </c>
      <c r="L10" s="44" t="s">
        <v>122</v>
      </c>
      <c r="M10" s="43" t="s">
        <v>115</v>
      </c>
      <c r="N10" s="45">
        <v>1</v>
      </c>
      <c r="O10" s="45">
        <v>3</v>
      </c>
      <c r="P10" s="45">
        <v>1</v>
      </c>
      <c r="Q10" s="45">
        <v>1</v>
      </c>
      <c r="R10" s="46">
        <v>4.05</v>
      </c>
      <c r="S10" s="46">
        <v>4.2</v>
      </c>
      <c r="T10" s="46">
        <v>345</v>
      </c>
      <c r="U10" s="47">
        <v>3054</v>
      </c>
      <c r="V10" s="23">
        <v>24</v>
      </c>
      <c r="W10" s="38">
        <v>0</v>
      </c>
      <c r="X10" s="38">
        <v>0</v>
      </c>
      <c r="Y10" s="38">
        <v>24</v>
      </c>
      <c r="Z10" s="38">
        <v>0</v>
      </c>
      <c r="AA10" s="44">
        <v>0</v>
      </c>
      <c r="AB10" s="44">
        <v>0</v>
      </c>
      <c r="AC10" s="52" t="s">
        <v>119</v>
      </c>
      <c r="AD10" s="19">
        <v>153</v>
      </c>
      <c r="AE10" s="40"/>
      <c r="AF10" s="40">
        <v>0</v>
      </c>
      <c r="AG10" s="19">
        <v>0</v>
      </c>
      <c r="AH10" s="21">
        <v>0</v>
      </c>
      <c r="AI10" s="21">
        <v>0</v>
      </c>
      <c r="AJ10" s="21">
        <v>1.3</v>
      </c>
      <c r="AK10" s="21">
        <v>0</v>
      </c>
      <c r="AL10" s="24">
        <f t="shared" si="1"/>
        <v>1.3</v>
      </c>
      <c r="AM10" s="12"/>
      <c r="AN10" s="12"/>
      <c r="AO10" s="12"/>
      <c r="AP10" s="12"/>
      <c r="AQ10" s="55">
        <f t="shared" si="2"/>
        <v>251.79999999999995</v>
      </c>
      <c r="AR10" s="21"/>
      <c r="AS10" s="12">
        <v>208</v>
      </c>
      <c r="AT10" s="26"/>
      <c r="AU10" s="49"/>
      <c r="AV10" s="136"/>
      <c r="AW10" s="137"/>
    </row>
    <row r="11" spans="1:49" s="4" customFormat="1" ht="19.399999999999999" customHeight="1">
      <c r="A11" s="18" t="s">
        <v>134</v>
      </c>
      <c r="B11" s="18" t="s">
        <v>757</v>
      </c>
      <c r="C11" s="19" t="s">
        <v>710</v>
      </c>
      <c r="D11" s="19" t="s">
        <v>710</v>
      </c>
      <c r="E11" s="19" t="s">
        <v>774</v>
      </c>
      <c r="F11" s="58">
        <v>8</v>
      </c>
      <c r="G11" s="43">
        <v>22</v>
      </c>
      <c r="H11" s="44">
        <v>58.6</v>
      </c>
      <c r="I11" s="44" t="s">
        <v>38</v>
      </c>
      <c r="J11" s="43">
        <v>120</v>
      </c>
      <c r="K11" s="44">
        <v>10.5</v>
      </c>
      <c r="L11" s="44" t="s">
        <v>122</v>
      </c>
      <c r="M11" s="43" t="s">
        <v>115</v>
      </c>
      <c r="N11" s="45">
        <v>1</v>
      </c>
      <c r="O11" s="45">
        <v>3</v>
      </c>
      <c r="P11" s="45">
        <v>1</v>
      </c>
      <c r="Q11" s="45">
        <v>1</v>
      </c>
      <c r="R11" s="46">
        <v>4.05</v>
      </c>
      <c r="S11" s="46">
        <v>4.2</v>
      </c>
      <c r="T11" s="46">
        <v>345</v>
      </c>
      <c r="U11" s="47">
        <v>3054</v>
      </c>
      <c r="V11" s="23">
        <v>24</v>
      </c>
      <c r="W11" s="38">
        <v>0</v>
      </c>
      <c r="X11" s="38">
        <v>0</v>
      </c>
      <c r="Y11" s="38">
        <v>24</v>
      </c>
      <c r="Z11" s="38">
        <v>0</v>
      </c>
      <c r="AA11" s="44">
        <v>0</v>
      </c>
      <c r="AB11" s="44">
        <v>0</v>
      </c>
      <c r="AC11" s="52" t="s">
        <v>119</v>
      </c>
      <c r="AD11" s="19">
        <v>140</v>
      </c>
      <c r="AE11" s="40"/>
      <c r="AF11" s="40">
        <v>0</v>
      </c>
      <c r="AG11" s="19">
        <v>0</v>
      </c>
      <c r="AH11" s="21">
        <v>0</v>
      </c>
      <c r="AI11" s="21">
        <v>0</v>
      </c>
      <c r="AJ11" s="21">
        <v>1.5</v>
      </c>
      <c r="AK11" s="21">
        <v>0</v>
      </c>
      <c r="AL11" s="24">
        <f t="shared" si="1"/>
        <v>1.5</v>
      </c>
      <c r="AM11" s="12"/>
      <c r="AN11" s="12"/>
      <c r="AO11" s="12"/>
      <c r="AP11" s="12"/>
      <c r="AQ11" s="55">
        <f t="shared" si="2"/>
        <v>250.29999999999995</v>
      </c>
      <c r="AR11" s="21"/>
      <c r="AS11" s="12">
        <v>204</v>
      </c>
      <c r="AT11" s="26"/>
      <c r="AU11" s="49"/>
      <c r="AV11" s="136"/>
      <c r="AW11" s="137"/>
    </row>
    <row r="12" spans="1:49" s="4" customFormat="1" ht="19.399999999999999" customHeight="1">
      <c r="A12" s="18" t="s">
        <v>134</v>
      </c>
      <c r="B12" s="18" t="s">
        <v>757</v>
      </c>
      <c r="C12" s="19" t="s">
        <v>710</v>
      </c>
      <c r="D12" s="19" t="s">
        <v>710</v>
      </c>
      <c r="E12" s="19" t="s">
        <v>775</v>
      </c>
      <c r="F12" s="58">
        <v>8</v>
      </c>
      <c r="G12" s="43">
        <v>22</v>
      </c>
      <c r="H12" s="44">
        <v>58.6</v>
      </c>
      <c r="I12" s="44" t="s">
        <v>38</v>
      </c>
      <c r="J12" s="43">
        <v>120</v>
      </c>
      <c r="K12" s="44">
        <v>10.5</v>
      </c>
      <c r="L12" s="44" t="s">
        <v>122</v>
      </c>
      <c r="M12" s="43" t="s">
        <v>115</v>
      </c>
      <c r="N12" s="45">
        <v>1</v>
      </c>
      <c r="O12" s="45">
        <v>3</v>
      </c>
      <c r="P12" s="45">
        <v>1</v>
      </c>
      <c r="Q12" s="45">
        <v>1</v>
      </c>
      <c r="R12" s="46">
        <v>4.05</v>
      </c>
      <c r="S12" s="46">
        <v>4.2</v>
      </c>
      <c r="T12" s="46">
        <v>345</v>
      </c>
      <c r="U12" s="47">
        <v>3054</v>
      </c>
      <c r="V12" s="23">
        <v>24</v>
      </c>
      <c r="W12" s="38">
        <v>0</v>
      </c>
      <c r="X12" s="38">
        <v>0</v>
      </c>
      <c r="Y12" s="38">
        <v>24</v>
      </c>
      <c r="Z12" s="38">
        <v>0</v>
      </c>
      <c r="AA12" s="44">
        <v>0</v>
      </c>
      <c r="AB12" s="44">
        <v>0</v>
      </c>
      <c r="AC12" s="52" t="s">
        <v>119</v>
      </c>
      <c r="AD12" s="19">
        <v>159</v>
      </c>
      <c r="AE12" s="40"/>
      <c r="AF12" s="40">
        <v>0</v>
      </c>
      <c r="AG12" s="19">
        <v>0</v>
      </c>
      <c r="AH12" s="21">
        <v>0</v>
      </c>
      <c r="AI12" s="21">
        <v>0</v>
      </c>
      <c r="AJ12" s="21">
        <v>1.3</v>
      </c>
      <c r="AK12" s="21">
        <v>0</v>
      </c>
      <c r="AL12" s="24">
        <f t="shared" si="1"/>
        <v>1.3</v>
      </c>
      <c r="AM12" s="12"/>
      <c r="AN12" s="12"/>
      <c r="AO12" s="12"/>
      <c r="AP12" s="12"/>
      <c r="AQ12" s="55">
        <f t="shared" si="2"/>
        <v>248.99999999999994</v>
      </c>
      <c r="AR12" s="21"/>
      <c r="AS12" s="12">
        <v>203</v>
      </c>
      <c r="AT12" s="26"/>
      <c r="AU12" s="49"/>
      <c r="AV12" s="136"/>
      <c r="AW12" s="137"/>
    </row>
    <row r="13" spans="1:49" s="4" customFormat="1" ht="19.399999999999999" customHeight="1">
      <c r="A13" s="18" t="s">
        <v>134</v>
      </c>
      <c r="B13" s="18" t="s">
        <v>757</v>
      </c>
      <c r="C13" s="19" t="s">
        <v>710</v>
      </c>
      <c r="D13" s="19" t="s">
        <v>710</v>
      </c>
      <c r="E13" s="19" t="s">
        <v>776</v>
      </c>
      <c r="F13" s="58">
        <v>8</v>
      </c>
      <c r="G13" s="43">
        <v>22</v>
      </c>
      <c r="H13" s="44">
        <v>58.6</v>
      </c>
      <c r="I13" s="44" t="s">
        <v>38</v>
      </c>
      <c r="J13" s="43">
        <v>120</v>
      </c>
      <c r="K13" s="44">
        <v>10.5</v>
      </c>
      <c r="L13" s="44" t="s">
        <v>122</v>
      </c>
      <c r="M13" s="43" t="s">
        <v>115</v>
      </c>
      <c r="N13" s="45">
        <v>1</v>
      </c>
      <c r="O13" s="45">
        <v>3</v>
      </c>
      <c r="P13" s="45">
        <v>1</v>
      </c>
      <c r="Q13" s="45">
        <v>1</v>
      </c>
      <c r="R13" s="46">
        <v>4.05</v>
      </c>
      <c r="S13" s="46">
        <v>4.2</v>
      </c>
      <c r="T13" s="46">
        <v>345</v>
      </c>
      <c r="U13" s="47">
        <v>3054</v>
      </c>
      <c r="V13" s="23">
        <v>24</v>
      </c>
      <c r="W13" s="38">
        <v>0</v>
      </c>
      <c r="X13" s="38">
        <v>0</v>
      </c>
      <c r="Y13" s="38">
        <v>24</v>
      </c>
      <c r="Z13" s="38">
        <v>0</v>
      </c>
      <c r="AA13" s="44">
        <v>0</v>
      </c>
      <c r="AB13" s="44">
        <v>0</v>
      </c>
      <c r="AC13" s="52" t="s">
        <v>569</v>
      </c>
      <c r="AD13" s="19">
        <v>139</v>
      </c>
      <c r="AE13" s="40"/>
      <c r="AF13" s="40">
        <v>0</v>
      </c>
      <c r="AG13" s="19">
        <v>0</v>
      </c>
      <c r="AH13" s="21">
        <v>0</v>
      </c>
      <c r="AI13" s="21">
        <v>0</v>
      </c>
      <c r="AJ13" s="21">
        <v>1.7</v>
      </c>
      <c r="AK13" s="21">
        <v>0</v>
      </c>
      <c r="AL13" s="24">
        <f t="shared" si="1"/>
        <v>1.7</v>
      </c>
      <c r="AM13" s="12"/>
      <c r="AN13" s="12"/>
      <c r="AO13" s="12"/>
      <c r="AP13" s="12"/>
      <c r="AQ13" s="55">
        <f t="shared" si="2"/>
        <v>247.29999999999995</v>
      </c>
      <c r="AR13" s="21"/>
      <c r="AS13" s="12">
        <v>201</v>
      </c>
      <c r="AT13" s="26"/>
      <c r="AU13" s="49"/>
      <c r="AV13" s="136"/>
      <c r="AW13" s="137"/>
    </row>
    <row r="14" spans="1:49" s="4" customFormat="1" ht="19.399999999999999" customHeight="1">
      <c r="A14" s="18" t="s">
        <v>134</v>
      </c>
      <c r="B14" s="18" t="s">
        <v>757</v>
      </c>
      <c r="C14" s="19" t="s">
        <v>710</v>
      </c>
      <c r="D14" s="19" t="s">
        <v>710</v>
      </c>
      <c r="E14" s="19" t="s">
        <v>777</v>
      </c>
      <c r="F14" s="58">
        <v>8</v>
      </c>
      <c r="G14" s="43">
        <v>22</v>
      </c>
      <c r="H14" s="44">
        <v>58.6</v>
      </c>
      <c r="I14" s="44" t="s">
        <v>38</v>
      </c>
      <c r="J14" s="43">
        <v>120</v>
      </c>
      <c r="K14" s="44">
        <v>10.5</v>
      </c>
      <c r="L14" s="44" t="s">
        <v>122</v>
      </c>
      <c r="M14" s="43" t="s">
        <v>115</v>
      </c>
      <c r="N14" s="45">
        <v>1</v>
      </c>
      <c r="O14" s="45">
        <v>3</v>
      </c>
      <c r="P14" s="45">
        <v>1</v>
      </c>
      <c r="Q14" s="45">
        <v>1</v>
      </c>
      <c r="R14" s="46">
        <v>4.05</v>
      </c>
      <c r="S14" s="46">
        <v>4.2</v>
      </c>
      <c r="T14" s="46">
        <v>345</v>
      </c>
      <c r="U14" s="47">
        <v>3054</v>
      </c>
      <c r="V14" s="23">
        <v>24</v>
      </c>
      <c r="W14" s="38">
        <v>0</v>
      </c>
      <c r="X14" s="38">
        <v>0</v>
      </c>
      <c r="Y14" s="38">
        <v>24</v>
      </c>
      <c r="Z14" s="38">
        <v>0</v>
      </c>
      <c r="AA14" s="44">
        <v>0</v>
      </c>
      <c r="AB14" s="44">
        <v>0</v>
      </c>
      <c r="AC14" s="52" t="s">
        <v>569</v>
      </c>
      <c r="AD14" s="19">
        <v>189</v>
      </c>
      <c r="AE14" s="40"/>
      <c r="AF14" s="40">
        <v>0</v>
      </c>
      <c r="AG14" s="19">
        <v>0</v>
      </c>
      <c r="AH14" s="21">
        <v>0</v>
      </c>
      <c r="AI14" s="21">
        <v>0</v>
      </c>
      <c r="AJ14" s="21">
        <v>2.1</v>
      </c>
      <c r="AK14" s="21">
        <v>0</v>
      </c>
      <c r="AL14" s="24">
        <f t="shared" si="1"/>
        <v>2.1</v>
      </c>
      <c r="AM14" s="12"/>
      <c r="AN14" s="12"/>
      <c r="AO14" s="12"/>
      <c r="AP14" s="12"/>
      <c r="AQ14" s="55">
        <f t="shared" si="2"/>
        <v>245.19999999999996</v>
      </c>
      <c r="AR14" s="21"/>
      <c r="AS14" s="12">
        <v>198</v>
      </c>
      <c r="AT14" s="26"/>
      <c r="AU14" s="49"/>
      <c r="AV14" s="136"/>
      <c r="AW14" s="137"/>
    </row>
    <row r="15" spans="1:49" s="4" customFormat="1" ht="19.399999999999999" customHeight="1">
      <c r="A15" s="18" t="s">
        <v>134</v>
      </c>
      <c r="B15" s="18" t="s">
        <v>757</v>
      </c>
      <c r="C15" s="19" t="s">
        <v>710</v>
      </c>
      <c r="D15" s="19" t="s">
        <v>710</v>
      </c>
      <c r="E15" s="19" t="s">
        <v>779</v>
      </c>
      <c r="F15" s="58">
        <v>8</v>
      </c>
      <c r="G15" s="43">
        <v>22</v>
      </c>
      <c r="H15" s="44">
        <v>58.6</v>
      </c>
      <c r="I15" s="44" t="s">
        <v>38</v>
      </c>
      <c r="J15" s="43">
        <v>120</v>
      </c>
      <c r="K15" s="44">
        <v>10.5</v>
      </c>
      <c r="L15" s="44" t="s">
        <v>122</v>
      </c>
      <c r="M15" s="43" t="s">
        <v>115</v>
      </c>
      <c r="N15" s="45">
        <v>1</v>
      </c>
      <c r="O15" s="45">
        <v>3</v>
      </c>
      <c r="P15" s="45">
        <v>1</v>
      </c>
      <c r="Q15" s="45">
        <v>1</v>
      </c>
      <c r="R15" s="46">
        <v>4.05</v>
      </c>
      <c r="S15" s="46">
        <v>4.2</v>
      </c>
      <c r="T15" s="46">
        <v>345</v>
      </c>
      <c r="U15" s="47">
        <v>3054</v>
      </c>
      <c r="V15" s="23">
        <v>24</v>
      </c>
      <c r="W15" s="38">
        <v>0</v>
      </c>
      <c r="X15" s="38">
        <v>0</v>
      </c>
      <c r="Y15" s="38">
        <v>24</v>
      </c>
      <c r="Z15" s="38">
        <v>0</v>
      </c>
      <c r="AA15" s="44">
        <v>0</v>
      </c>
      <c r="AB15" s="44">
        <v>0</v>
      </c>
      <c r="AC15" s="52" t="s">
        <v>569</v>
      </c>
      <c r="AD15" s="19">
        <v>186</v>
      </c>
      <c r="AE15" s="48"/>
      <c r="AF15" s="19">
        <v>0</v>
      </c>
      <c r="AG15" s="19">
        <v>0</v>
      </c>
      <c r="AH15" s="21">
        <v>0</v>
      </c>
      <c r="AI15" s="21">
        <v>0</v>
      </c>
      <c r="AJ15" s="21">
        <v>2</v>
      </c>
      <c r="AK15" s="21">
        <v>0</v>
      </c>
      <c r="AL15" s="24">
        <f t="shared" si="1"/>
        <v>2</v>
      </c>
      <c r="AM15" s="12"/>
      <c r="AN15" s="12"/>
      <c r="AO15" s="12"/>
      <c r="AP15" s="12"/>
      <c r="AQ15" s="55">
        <f t="shared" si="2"/>
        <v>243.19999999999996</v>
      </c>
      <c r="AR15" s="21"/>
      <c r="AS15" s="12">
        <v>196</v>
      </c>
      <c r="AT15" s="26"/>
      <c r="AU15" s="49"/>
      <c r="AV15" s="136" t="s">
        <v>778</v>
      </c>
      <c r="AW15" s="137"/>
    </row>
    <row r="16" spans="1:49" s="4" customFormat="1" ht="19.399999999999999" customHeight="1">
      <c r="A16" s="18" t="s">
        <v>134</v>
      </c>
      <c r="B16" s="18" t="s">
        <v>757</v>
      </c>
      <c r="C16" s="19" t="s">
        <v>710</v>
      </c>
      <c r="D16" s="19" t="s">
        <v>710</v>
      </c>
      <c r="E16" s="19" t="s">
        <v>780</v>
      </c>
      <c r="F16" s="58">
        <v>8</v>
      </c>
      <c r="G16" s="43">
        <v>22</v>
      </c>
      <c r="H16" s="44">
        <v>58.6</v>
      </c>
      <c r="I16" s="44" t="s">
        <v>38</v>
      </c>
      <c r="J16" s="43">
        <v>120</v>
      </c>
      <c r="K16" s="44">
        <v>10.5</v>
      </c>
      <c r="L16" s="44" t="s">
        <v>122</v>
      </c>
      <c r="M16" s="43" t="s">
        <v>115</v>
      </c>
      <c r="N16" s="45">
        <v>1</v>
      </c>
      <c r="O16" s="45">
        <v>3</v>
      </c>
      <c r="P16" s="45">
        <v>1</v>
      </c>
      <c r="Q16" s="45">
        <v>1</v>
      </c>
      <c r="R16" s="46">
        <v>4.05</v>
      </c>
      <c r="S16" s="46">
        <v>4.2</v>
      </c>
      <c r="T16" s="46">
        <v>345</v>
      </c>
      <c r="U16" s="47">
        <v>3054</v>
      </c>
      <c r="V16" s="23">
        <v>24</v>
      </c>
      <c r="W16" s="38">
        <v>0</v>
      </c>
      <c r="X16" s="38">
        <v>0</v>
      </c>
      <c r="Y16" s="38">
        <v>24</v>
      </c>
      <c r="Z16" s="38">
        <v>0</v>
      </c>
      <c r="AA16" s="44">
        <v>0</v>
      </c>
      <c r="AB16" s="44">
        <v>0</v>
      </c>
      <c r="AC16" s="52" t="s">
        <v>119</v>
      </c>
      <c r="AD16" s="19">
        <v>216</v>
      </c>
      <c r="AE16" s="48"/>
      <c r="AF16" s="40">
        <v>0</v>
      </c>
      <c r="AG16" s="19">
        <v>0</v>
      </c>
      <c r="AH16" s="21">
        <v>0</v>
      </c>
      <c r="AI16" s="21">
        <v>0</v>
      </c>
      <c r="AJ16" s="21">
        <v>1.5</v>
      </c>
      <c r="AK16" s="21">
        <v>0</v>
      </c>
      <c r="AL16" s="24">
        <f t="shared" si="1"/>
        <v>1.5</v>
      </c>
      <c r="AM16" s="12"/>
      <c r="AN16" s="12"/>
      <c r="AO16" s="12"/>
      <c r="AP16" s="12"/>
      <c r="AQ16" s="55">
        <f t="shared" si="2"/>
        <v>241.69999999999996</v>
      </c>
      <c r="AR16" s="21"/>
      <c r="AS16" s="55">
        <v>223</v>
      </c>
      <c r="AT16" s="26"/>
      <c r="AU16" s="49"/>
      <c r="AV16" s="136" t="s">
        <v>781</v>
      </c>
      <c r="AW16" s="137"/>
    </row>
    <row r="17" spans="1:49" s="4" customFormat="1" ht="19.399999999999999" customHeight="1">
      <c r="A17" s="18" t="s">
        <v>134</v>
      </c>
      <c r="B17" s="18" t="s">
        <v>786</v>
      </c>
      <c r="C17" s="19" t="s">
        <v>710</v>
      </c>
      <c r="D17" s="19" t="s">
        <v>710</v>
      </c>
      <c r="E17" s="19" t="s">
        <v>787</v>
      </c>
      <c r="F17" s="58">
        <v>8</v>
      </c>
      <c r="G17" s="43">
        <v>22</v>
      </c>
      <c r="H17" s="44">
        <v>50.2</v>
      </c>
      <c r="I17" s="44" t="s">
        <v>38</v>
      </c>
      <c r="J17" s="43">
        <v>120</v>
      </c>
      <c r="K17" s="44">
        <v>4</v>
      </c>
      <c r="L17" s="44" t="s">
        <v>122</v>
      </c>
      <c r="M17" s="43" t="s">
        <v>114</v>
      </c>
      <c r="N17" s="45">
        <v>0</v>
      </c>
      <c r="O17" s="45">
        <v>5</v>
      </c>
      <c r="P17" s="45">
        <v>4</v>
      </c>
      <c r="Q17" s="45">
        <v>2</v>
      </c>
      <c r="R17" s="46">
        <v>4.05</v>
      </c>
      <c r="S17" s="46">
        <v>4.1500000000000004</v>
      </c>
      <c r="T17" s="46">
        <v>347</v>
      </c>
      <c r="U17" s="47">
        <v>3060</v>
      </c>
      <c r="V17" s="23">
        <v>24</v>
      </c>
      <c r="W17" s="38">
        <v>2</v>
      </c>
      <c r="X17" s="38">
        <v>0</v>
      </c>
      <c r="Y17" s="38">
        <v>22</v>
      </c>
      <c r="Z17" s="38">
        <v>0</v>
      </c>
      <c r="AA17" s="44">
        <v>0</v>
      </c>
      <c r="AB17" s="44">
        <v>11.1</v>
      </c>
      <c r="AC17" s="52" t="s">
        <v>130</v>
      </c>
      <c r="AD17" s="19" t="s">
        <v>783</v>
      </c>
      <c r="AE17" s="48"/>
      <c r="AF17" s="40" t="s">
        <v>784</v>
      </c>
      <c r="AG17" s="19" t="s">
        <v>785</v>
      </c>
      <c r="AH17" s="21">
        <v>0.1</v>
      </c>
      <c r="AI17" s="21">
        <v>0</v>
      </c>
      <c r="AJ17" s="21">
        <v>1.3</v>
      </c>
      <c r="AK17" s="21">
        <v>0</v>
      </c>
      <c r="AL17" s="24">
        <f t="shared" si="1"/>
        <v>1.4000000000000001</v>
      </c>
      <c r="AM17" s="12"/>
      <c r="AN17" s="12"/>
      <c r="AO17" s="12"/>
      <c r="AP17" s="12"/>
      <c r="AQ17" s="55">
        <f t="shared" si="2"/>
        <v>240.29999999999995</v>
      </c>
      <c r="AR17" s="21"/>
      <c r="AS17" s="12">
        <v>280</v>
      </c>
      <c r="AT17" s="26"/>
      <c r="AU17" s="49"/>
      <c r="AV17" s="136" t="s">
        <v>782</v>
      </c>
      <c r="AW17" s="137"/>
    </row>
    <row r="18" spans="1:49" s="4" customFormat="1" ht="19.399999999999999" customHeight="1">
      <c r="A18" s="18" t="s">
        <v>134</v>
      </c>
      <c r="B18" s="18" t="s">
        <v>786</v>
      </c>
      <c r="C18" s="19" t="s">
        <v>710</v>
      </c>
      <c r="D18" s="19" t="s">
        <v>710</v>
      </c>
      <c r="E18" s="19" t="s">
        <v>791</v>
      </c>
      <c r="F18" s="58">
        <v>8</v>
      </c>
      <c r="G18" s="43">
        <v>22</v>
      </c>
      <c r="H18" s="44">
        <v>10.7</v>
      </c>
      <c r="I18" s="44" t="s">
        <v>38</v>
      </c>
      <c r="J18" s="43">
        <v>120</v>
      </c>
      <c r="K18" s="44">
        <v>6</v>
      </c>
      <c r="L18" s="44" t="s">
        <v>122</v>
      </c>
      <c r="M18" s="43" t="s">
        <v>114</v>
      </c>
      <c r="N18" s="45">
        <v>0</v>
      </c>
      <c r="O18" s="45">
        <v>4</v>
      </c>
      <c r="P18" s="45">
        <v>3</v>
      </c>
      <c r="Q18" s="45">
        <v>1</v>
      </c>
      <c r="R18" s="46">
        <v>4.05</v>
      </c>
      <c r="S18" s="46">
        <v>4.1500000000000004</v>
      </c>
      <c r="T18" s="46">
        <v>347</v>
      </c>
      <c r="U18" s="47">
        <v>3060</v>
      </c>
      <c r="V18" s="23">
        <v>24</v>
      </c>
      <c r="W18" s="38">
        <v>0</v>
      </c>
      <c r="X18" s="38">
        <v>24</v>
      </c>
      <c r="Y18" s="38">
        <v>0</v>
      </c>
      <c r="Z18" s="38">
        <v>0</v>
      </c>
      <c r="AA18" s="44">
        <v>0</v>
      </c>
      <c r="AB18" s="44">
        <v>89.2</v>
      </c>
      <c r="AC18" s="52" t="s">
        <v>130</v>
      </c>
      <c r="AD18" s="19" t="s">
        <v>788</v>
      </c>
      <c r="AE18" s="48"/>
      <c r="AF18" s="40" t="s">
        <v>789</v>
      </c>
      <c r="AG18" s="19" t="s">
        <v>790</v>
      </c>
      <c r="AH18" s="21">
        <v>0</v>
      </c>
      <c r="AI18" s="21">
        <v>5.2</v>
      </c>
      <c r="AJ18" s="21">
        <v>0</v>
      </c>
      <c r="AK18" s="21">
        <v>0</v>
      </c>
      <c r="AL18" s="24">
        <f t="shared" si="1"/>
        <v>5.2</v>
      </c>
      <c r="AM18" s="12"/>
      <c r="AN18" s="12"/>
      <c r="AO18" s="12"/>
      <c r="AP18" s="12"/>
      <c r="AQ18" s="55">
        <f t="shared" si="2"/>
        <v>235.09999999999997</v>
      </c>
      <c r="AR18" s="21"/>
      <c r="AS18" s="12">
        <v>275</v>
      </c>
      <c r="AT18" s="26"/>
      <c r="AU18" s="49"/>
      <c r="AV18" s="136"/>
      <c r="AW18" s="137"/>
    </row>
    <row r="19" spans="1:49" s="4" customFormat="1" ht="19.399999999999999" customHeight="1">
      <c r="A19" s="18" t="s">
        <v>134</v>
      </c>
      <c r="B19" s="18" t="s">
        <v>786</v>
      </c>
      <c r="C19" s="19" t="s">
        <v>710</v>
      </c>
      <c r="D19" s="19" t="s">
        <v>710</v>
      </c>
      <c r="E19" s="19" t="s">
        <v>795</v>
      </c>
      <c r="F19" s="58">
        <v>8</v>
      </c>
      <c r="G19" s="43">
        <v>22</v>
      </c>
      <c r="H19" s="44">
        <v>0</v>
      </c>
      <c r="I19" s="44" t="s">
        <v>38</v>
      </c>
      <c r="J19" s="43">
        <v>120</v>
      </c>
      <c r="K19" s="44">
        <v>0</v>
      </c>
      <c r="L19" s="44" t="s">
        <v>122</v>
      </c>
      <c r="M19" s="43" t="s">
        <v>114</v>
      </c>
      <c r="N19" s="45">
        <v>0</v>
      </c>
      <c r="O19" s="45">
        <v>3</v>
      </c>
      <c r="P19" s="45">
        <v>3</v>
      </c>
      <c r="Q19" s="45">
        <v>2</v>
      </c>
      <c r="R19" s="46">
        <v>4.05</v>
      </c>
      <c r="S19" s="46">
        <v>4.1500000000000004</v>
      </c>
      <c r="T19" s="46">
        <v>347</v>
      </c>
      <c r="U19" s="47">
        <v>3060</v>
      </c>
      <c r="V19" s="23">
        <v>24</v>
      </c>
      <c r="W19" s="38">
        <v>0</v>
      </c>
      <c r="X19" s="38">
        <v>24</v>
      </c>
      <c r="Y19" s="38">
        <v>0</v>
      </c>
      <c r="Z19" s="38">
        <v>0</v>
      </c>
      <c r="AA19" s="44">
        <v>0</v>
      </c>
      <c r="AB19" s="44">
        <v>50.9</v>
      </c>
      <c r="AC19" s="52" t="s">
        <v>130</v>
      </c>
      <c r="AD19" s="19" t="s">
        <v>792</v>
      </c>
      <c r="AE19" s="48"/>
      <c r="AF19" s="40" t="s">
        <v>793</v>
      </c>
      <c r="AG19" s="19" t="s">
        <v>794</v>
      </c>
      <c r="AH19" s="21">
        <v>0</v>
      </c>
      <c r="AI19" s="21">
        <v>4.5</v>
      </c>
      <c r="AJ19" s="21">
        <v>0</v>
      </c>
      <c r="AK19" s="21">
        <v>0</v>
      </c>
      <c r="AL19" s="24">
        <f t="shared" si="1"/>
        <v>4.5</v>
      </c>
      <c r="AM19" s="12"/>
      <c r="AN19" s="12"/>
      <c r="AO19" s="12"/>
      <c r="AP19" s="12"/>
      <c r="AQ19" s="55">
        <f t="shared" si="2"/>
        <v>230.59999999999997</v>
      </c>
      <c r="AR19" s="21"/>
      <c r="AS19" s="12">
        <v>268</v>
      </c>
      <c r="AT19" s="26"/>
      <c r="AU19" s="49"/>
      <c r="AV19" s="136"/>
      <c r="AW19" s="137"/>
    </row>
    <row r="20" spans="1:49" s="4" customFormat="1" ht="19.399999999999999" customHeight="1">
      <c r="A20" s="18" t="s">
        <v>134</v>
      </c>
      <c r="B20" s="18" t="s">
        <v>786</v>
      </c>
      <c r="C20" s="19" t="s">
        <v>710</v>
      </c>
      <c r="D20" s="19" t="s">
        <v>710</v>
      </c>
      <c r="E20" s="19" t="s">
        <v>798</v>
      </c>
      <c r="F20" s="58">
        <v>8</v>
      </c>
      <c r="G20" s="43">
        <v>22</v>
      </c>
      <c r="H20" s="44">
        <v>20.9</v>
      </c>
      <c r="I20" s="44" t="s">
        <v>38</v>
      </c>
      <c r="J20" s="43">
        <v>120</v>
      </c>
      <c r="K20" s="44">
        <v>16.2</v>
      </c>
      <c r="L20" s="44" t="s">
        <v>122</v>
      </c>
      <c r="M20" s="43" t="s">
        <v>114</v>
      </c>
      <c r="N20" s="45">
        <v>2</v>
      </c>
      <c r="O20" s="45">
        <v>4</v>
      </c>
      <c r="P20" s="45">
        <v>3</v>
      </c>
      <c r="Q20" s="45">
        <v>2</v>
      </c>
      <c r="R20" s="46">
        <v>4.05</v>
      </c>
      <c r="S20" s="46">
        <v>4.1500000000000004</v>
      </c>
      <c r="T20" s="46">
        <v>347</v>
      </c>
      <c r="U20" s="47">
        <v>3060</v>
      </c>
      <c r="V20" s="23">
        <v>24</v>
      </c>
      <c r="W20" s="38">
        <v>0</v>
      </c>
      <c r="X20" s="38">
        <v>24</v>
      </c>
      <c r="Y20" s="38">
        <v>0</v>
      </c>
      <c r="Z20" s="38">
        <v>0</v>
      </c>
      <c r="AA20" s="44">
        <v>0</v>
      </c>
      <c r="AB20" s="44">
        <v>54.2</v>
      </c>
      <c r="AC20" s="52" t="s">
        <v>130</v>
      </c>
      <c r="AD20" s="19" t="s">
        <v>796</v>
      </c>
      <c r="AE20" s="48"/>
      <c r="AF20" s="40" t="s">
        <v>166</v>
      </c>
      <c r="AG20" s="19" t="s">
        <v>797</v>
      </c>
      <c r="AH20" s="21">
        <v>0</v>
      </c>
      <c r="AI20" s="21">
        <v>4.4000000000000004</v>
      </c>
      <c r="AJ20" s="21">
        <v>0</v>
      </c>
      <c r="AK20" s="21">
        <v>0</v>
      </c>
      <c r="AL20" s="24">
        <f t="shared" si="1"/>
        <v>4.4000000000000004</v>
      </c>
      <c r="AM20" s="12"/>
      <c r="AN20" s="12"/>
      <c r="AO20" s="12"/>
      <c r="AP20" s="12"/>
      <c r="AQ20" s="55">
        <f t="shared" si="2"/>
        <v>226.19999999999996</v>
      </c>
      <c r="AR20" s="21"/>
      <c r="AS20" s="12">
        <v>258</v>
      </c>
      <c r="AT20" s="26"/>
      <c r="AU20" s="49"/>
      <c r="AV20" s="136"/>
      <c r="AW20" s="137"/>
    </row>
    <row r="21" spans="1:49" s="4" customFormat="1" ht="19.399999999999999" customHeight="1">
      <c r="A21" s="18" t="s">
        <v>134</v>
      </c>
      <c r="B21" s="18" t="s">
        <v>786</v>
      </c>
      <c r="C21" s="19" t="s">
        <v>710</v>
      </c>
      <c r="D21" s="19" t="s">
        <v>710</v>
      </c>
      <c r="E21" s="19" t="s">
        <v>802</v>
      </c>
      <c r="F21" s="58">
        <v>8</v>
      </c>
      <c r="G21" s="43">
        <v>22</v>
      </c>
      <c r="H21" s="44">
        <v>23.9</v>
      </c>
      <c r="I21" s="44" t="s">
        <v>38</v>
      </c>
      <c r="J21" s="43">
        <v>120</v>
      </c>
      <c r="K21" s="44">
        <v>23.5</v>
      </c>
      <c r="L21" s="44" t="s">
        <v>122</v>
      </c>
      <c r="M21" s="43" t="s">
        <v>96</v>
      </c>
      <c r="N21" s="45">
        <v>0</v>
      </c>
      <c r="O21" s="45">
        <v>3</v>
      </c>
      <c r="P21" s="45">
        <v>2</v>
      </c>
      <c r="Q21" s="45">
        <v>1</v>
      </c>
      <c r="R21" s="46">
        <v>4.05</v>
      </c>
      <c r="S21" s="46">
        <v>4.1500000000000004</v>
      </c>
      <c r="T21" s="46">
        <v>347</v>
      </c>
      <c r="U21" s="47">
        <v>3060</v>
      </c>
      <c r="V21" s="23">
        <v>24</v>
      </c>
      <c r="W21" s="38">
        <v>0</v>
      </c>
      <c r="X21" s="38">
        <v>24</v>
      </c>
      <c r="Y21" s="38">
        <v>0</v>
      </c>
      <c r="Z21" s="38">
        <v>0</v>
      </c>
      <c r="AA21" s="44">
        <v>0</v>
      </c>
      <c r="AB21" s="44">
        <v>7.9</v>
      </c>
      <c r="AC21" s="52" t="s">
        <v>130</v>
      </c>
      <c r="AD21" s="19" t="s">
        <v>799</v>
      </c>
      <c r="AE21" s="48"/>
      <c r="AF21" s="40" t="s">
        <v>800</v>
      </c>
      <c r="AG21" s="19" t="s">
        <v>801</v>
      </c>
      <c r="AH21" s="21">
        <v>0</v>
      </c>
      <c r="AI21" s="21">
        <v>4</v>
      </c>
      <c r="AJ21" s="21">
        <v>0</v>
      </c>
      <c r="AK21" s="21">
        <v>0</v>
      </c>
      <c r="AL21" s="24">
        <f t="shared" si="1"/>
        <v>4</v>
      </c>
      <c r="AM21" s="12"/>
      <c r="AN21" s="12"/>
      <c r="AO21" s="12"/>
      <c r="AP21" s="12"/>
      <c r="AQ21" s="55">
        <f t="shared" si="2"/>
        <v>222.19999999999996</v>
      </c>
      <c r="AR21" s="21"/>
      <c r="AS21" s="12">
        <v>247</v>
      </c>
      <c r="AT21" s="26"/>
      <c r="AU21" s="49"/>
      <c r="AV21" s="136"/>
      <c r="AW21" s="137"/>
    </row>
    <row r="22" spans="1:49" s="4" customFormat="1" ht="19.399999999999999" customHeight="1">
      <c r="A22" s="18" t="s">
        <v>134</v>
      </c>
      <c r="B22" s="18" t="s">
        <v>786</v>
      </c>
      <c r="C22" s="19" t="s">
        <v>710</v>
      </c>
      <c r="D22" s="19" t="s">
        <v>710</v>
      </c>
      <c r="E22" s="19" t="s">
        <v>805</v>
      </c>
      <c r="F22" s="58">
        <v>8</v>
      </c>
      <c r="G22" s="43">
        <v>22</v>
      </c>
      <c r="H22" s="44">
        <v>9</v>
      </c>
      <c r="I22" s="44" t="s">
        <v>38</v>
      </c>
      <c r="J22" s="43">
        <v>120</v>
      </c>
      <c r="K22" s="44">
        <v>0.5</v>
      </c>
      <c r="L22" s="44" t="s">
        <v>122</v>
      </c>
      <c r="M22" s="43" t="s">
        <v>114</v>
      </c>
      <c r="N22" s="45">
        <v>14</v>
      </c>
      <c r="O22" s="45">
        <v>3</v>
      </c>
      <c r="P22" s="45">
        <v>3</v>
      </c>
      <c r="Q22" s="45">
        <v>1</v>
      </c>
      <c r="R22" s="46">
        <v>4.05</v>
      </c>
      <c r="S22" s="46">
        <v>4.1500000000000004</v>
      </c>
      <c r="T22" s="46">
        <v>347</v>
      </c>
      <c r="U22" s="47">
        <v>3060</v>
      </c>
      <c r="V22" s="23">
        <v>24</v>
      </c>
      <c r="W22" s="38">
        <v>0</v>
      </c>
      <c r="X22" s="38">
        <v>24</v>
      </c>
      <c r="Y22" s="38">
        <v>0</v>
      </c>
      <c r="Z22" s="38">
        <v>0</v>
      </c>
      <c r="AA22" s="44">
        <v>0</v>
      </c>
      <c r="AB22" s="44">
        <v>28.3</v>
      </c>
      <c r="AC22" s="52" t="s">
        <v>130</v>
      </c>
      <c r="AD22" s="19" t="s">
        <v>803</v>
      </c>
      <c r="AE22" s="48"/>
      <c r="AF22" s="40" t="s">
        <v>166</v>
      </c>
      <c r="AG22" s="19" t="s">
        <v>804</v>
      </c>
      <c r="AH22" s="21">
        <v>0</v>
      </c>
      <c r="AI22" s="21">
        <v>3.7</v>
      </c>
      <c r="AJ22" s="21">
        <v>0</v>
      </c>
      <c r="AK22" s="21">
        <v>0</v>
      </c>
      <c r="AL22" s="24">
        <f t="shared" si="1"/>
        <v>3.7</v>
      </c>
      <c r="AM22" s="12"/>
      <c r="AN22" s="12"/>
      <c r="AO22" s="12"/>
      <c r="AP22" s="12"/>
      <c r="AQ22" s="55">
        <f t="shared" si="2"/>
        <v>218.49999999999997</v>
      </c>
      <c r="AR22" s="21"/>
      <c r="AS22" s="12">
        <v>237</v>
      </c>
      <c r="AT22" s="26"/>
      <c r="AU22" s="49"/>
      <c r="AV22" s="136"/>
      <c r="AW22" s="137"/>
    </row>
    <row r="23" spans="1:49" s="4" customFormat="1" ht="19.399999999999999" customHeight="1">
      <c r="A23" s="18" t="s">
        <v>134</v>
      </c>
      <c r="B23" s="18" t="s">
        <v>786</v>
      </c>
      <c r="C23" s="19" t="s">
        <v>710</v>
      </c>
      <c r="D23" s="19" t="s">
        <v>710</v>
      </c>
      <c r="E23" s="19" t="s">
        <v>809</v>
      </c>
      <c r="F23" s="58">
        <v>8</v>
      </c>
      <c r="G23" s="43">
        <v>22</v>
      </c>
      <c r="H23" s="44">
        <v>9</v>
      </c>
      <c r="I23" s="44" t="s">
        <v>38</v>
      </c>
      <c r="J23" s="43">
        <v>120</v>
      </c>
      <c r="K23" s="44">
        <v>0</v>
      </c>
      <c r="L23" s="44" t="s">
        <v>122</v>
      </c>
      <c r="M23" s="43" t="s">
        <v>96</v>
      </c>
      <c r="N23" s="45">
        <v>0</v>
      </c>
      <c r="O23" s="45">
        <v>5</v>
      </c>
      <c r="P23" s="45">
        <v>3</v>
      </c>
      <c r="Q23" s="45">
        <v>2</v>
      </c>
      <c r="R23" s="46">
        <v>4.05</v>
      </c>
      <c r="S23" s="46">
        <v>4.1500000000000004</v>
      </c>
      <c r="T23" s="46">
        <v>347</v>
      </c>
      <c r="U23" s="47">
        <v>3060</v>
      </c>
      <c r="V23" s="23">
        <v>24</v>
      </c>
      <c r="W23" s="38">
        <v>0</v>
      </c>
      <c r="X23" s="38">
        <v>24</v>
      </c>
      <c r="Y23" s="38">
        <v>0</v>
      </c>
      <c r="Z23" s="38">
        <v>0</v>
      </c>
      <c r="AA23" s="44">
        <v>0</v>
      </c>
      <c r="AB23" s="44">
        <v>49.7</v>
      </c>
      <c r="AC23" s="52" t="s">
        <v>130</v>
      </c>
      <c r="AD23" s="19" t="s">
        <v>806</v>
      </c>
      <c r="AE23" s="48"/>
      <c r="AF23" s="40" t="s">
        <v>807</v>
      </c>
      <c r="AG23" s="19" t="s">
        <v>808</v>
      </c>
      <c r="AH23" s="21">
        <v>0</v>
      </c>
      <c r="AI23" s="21">
        <v>4.5</v>
      </c>
      <c r="AJ23" s="21">
        <v>0</v>
      </c>
      <c r="AK23" s="21">
        <v>0</v>
      </c>
      <c r="AL23" s="24">
        <f t="shared" si="1"/>
        <v>4.5</v>
      </c>
      <c r="AM23" s="12"/>
      <c r="AN23" s="12"/>
      <c r="AO23" s="12"/>
      <c r="AP23" s="12"/>
      <c r="AQ23" s="55">
        <f t="shared" si="2"/>
        <v>213.99999999999997</v>
      </c>
      <c r="AR23" s="21"/>
      <c r="AS23" s="12">
        <v>227</v>
      </c>
      <c r="AT23" s="26"/>
      <c r="AU23" s="49"/>
      <c r="AV23" s="136"/>
      <c r="AW23" s="137"/>
    </row>
    <row r="24" spans="1:49" s="4" customFormat="1" ht="19.399999999999999" customHeight="1">
      <c r="A24" s="18" t="s">
        <v>134</v>
      </c>
      <c r="B24" s="18" t="s">
        <v>786</v>
      </c>
      <c r="C24" s="19" t="s">
        <v>710</v>
      </c>
      <c r="D24" s="19" t="s">
        <v>710</v>
      </c>
      <c r="E24" s="19" t="s">
        <v>810</v>
      </c>
      <c r="F24" s="58">
        <v>8</v>
      </c>
      <c r="G24" s="43">
        <v>22</v>
      </c>
      <c r="H24" s="44">
        <v>58.3</v>
      </c>
      <c r="I24" s="44" t="s">
        <v>38</v>
      </c>
      <c r="J24" s="43">
        <v>120</v>
      </c>
      <c r="K24" s="44">
        <v>10.4</v>
      </c>
      <c r="L24" s="44" t="s">
        <v>122</v>
      </c>
      <c r="M24" s="43" t="s">
        <v>96</v>
      </c>
      <c r="N24" s="45">
        <v>0</v>
      </c>
      <c r="O24" s="45">
        <v>3</v>
      </c>
      <c r="P24" s="45">
        <v>3</v>
      </c>
      <c r="Q24" s="45">
        <v>1</v>
      </c>
      <c r="R24" s="46">
        <v>3.95</v>
      </c>
      <c r="S24" s="46">
        <v>4.28</v>
      </c>
      <c r="T24" s="46">
        <v>347</v>
      </c>
      <c r="U24" s="47">
        <v>3060</v>
      </c>
      <c r="V24" s="23">
        <v>24</v>
      </c>
      <c r="W24" s="38">
        <v>0</v>
      </c>
      <c r="X24" s="38">
        <v>19.8</v>
      </c>
      <c r="Y24" s="38">
        <v>4.2</v>
      </c>
      <c r="Z24" s="38">
        <v>0</v>
      </c>
      <c r="AA24" s="44">
        <v>0</v>
      </c>
      <c r="AB24" s="44">
        <v>121.5</v>
      </c>
      <c r="AC24" s="52" t="s">
        <v>113</v>
      </c>
      <c r="AD24" s="19">
        <v>200</v>
      </c>
      <c r="AE24" s="48"/>
      <c r="AF24" s="40">
        <v>0</v>
      </c>
      <c r="AG24" s="19">
        <v>0</v>
      </c>
      <c r="AH24" s="21">
        <v>0</v>
      </c>
      <c r="AI24" s="21">
        <v>5.0999999999999996</v>
      </c>
      <c r="AJ24" s="21">
        <v>0.1</v>
      </c>
      <c r="AK24" s="21">
        <v>0</v>
      </c>
      <c r="AL24" s="24">
        <f t="shared" si="1"/>
        <v>5.1999999999999993</v>
      </c>
      <c r="AM24" s="12"/>
      <c r="AN24" s="12"/>
      <c r="AO24" s="12"/>
      <c r="AP24" s="12"/>
      <c r="AQ24" s="55">
        <f t="shared" si="2"/>
        <v>208.79999999999998</v>
      </c>
      <c r="AR24" s="21"/>
      <c r="AS24" s="12">
        <v>216</v>
      </c>
      <c r="AT24" s="26"/>
      <c r="AU24" s="49"/>
      <c r="AV24" s="136"/>
      <c r="AW24" s="137"/>
    </row>
    <row r="25" spans="1:49" s="4" customFormat="1" ht="19.399999999999999" customHeight="1">
      <c r="A25" s="18" t="s">
        <v>134</v>
      </c>
      <c r="B25" s="18" t="s">
        <v>786</v>
      </c>
      <c r="C25" s="19" t="s">
        <v>710</v>
      </c>
      <c r="D25" s="19" t="s">
        <v>710</v>
      </c>
      <c r="E25" s="19" t="s">
        <v>813</v>
      </c>
      <c r="F25" s="58">
        <v>8</v>
      </c>
      <c r="G25" s="43">
        <v>22</v>
      </c>
      <c r="H25" s="44">
        <v>55.3</v>
      </c>
      <c r="I25" s="44" t="s">
        <v>38</v>
      </c>
      <c r="J25" s="43">
        <v>120</v>
      </c>
      <c r="K25" s="44">
        <v>5.7</v>
      </c>
      <c r="L25" s="44" t="s">
        <v>122</v>
      </c>
      <c r="M25" s="43" t="s">
        <v>96</v>
      </c>
      <c r="N25" s="45">
        <v>0</v>
      </c>
      <c r="O25" s="45">
        <v>3</v>
      </c>
      <c r="P25" s="45">
        <v>3</v>
      </c>
      <c r="Q25" s="45">
        <v>1</v>
      </c>
      <c r="R25" s="46">
        <v>3.9</v>
      </c>
      <c r="S25" s="46">
        <v>4.2300000000000004</v>
      </c>
      <c r="T25" s="46">
        <v>347</v>
      </c>
      <c r="U25" s="47">
        <v>3060</v>
      </c>
      <c r="V25" s="23">
        <v>24</v>
      </c>
      <c r="W25" s="38">
        <v>0</v>
      </c>
      <c r="X25" s="38">
        <v>4</v>
      </c>
      <c r="Y25" s="38">
        <v>20</v>
      </c>
      <c r="Z25" s="38">
        <v>0</v>
      </c>
      <c r="AA25" s="44">
        <v>0</v>
      </c>
      <c r="AB25" s="44">
        <v>22.9</v>
      </c>
      <c r="AC25" s="52" t="s">
        <v>130</v>
      </c>
      <c r="AD25" s="19" t="s">
        <v>811</v>
      </c>
      <c r="AE25" s="48"/>
      <c r="AF25" s="40" t="s">
        <v>812</v>
      </c>
      <c r="AG25" s="19" t="s">
        <v>347</v>
      </c>
      <c r="AH25" s="21">
        <v>0</v>
      </c>
      <c r="AI25" s="21">
        <v>0.5</v>
      </c>
      <c r="AJ25" s="21">
        <v>2</v>
      </c>
      <c r="AK25" s="21">
        <v>0</v>
      </c>
      <c r="AL25" s="24">
        <f t="shared" si="1"/>
        <v>2.5</v>
      </c>
      <c r="AM25" s="12"/>
      <c r="AN25" s="12"/>
      <c r="AO25" s="12"/>
      <c r="AP25" s="12"/>
      <c r="AQ25" s="55">
        <f t="shared" si="2"/>
        <v>206.29999999999998</v>
      </c>
      <c r="AR25" s="21"/>
      <c r="AS25" s="12">
        <v>212</v>
      </c>
      <c r="AT25" s="26"/>
      <c r="AU25" s="49"/>
      <c r="AV25" s="136"/>
      <c r="AW25" s="137"/>
    </row>
    <row r="26" spans="1:49" s="4" customFormat="1" ht="19.399999999999999" customHeight="1">
      <c r="A26" s="18" t="s">
        <v>134</v>
      </c>
      <c r="B26" s="18" t="s">
        <v>786</v>
      </c>
      <c r="C26" s="19" t="s">
        <v>710</v>
      </c>
      <c r="D26" s="19" t="s">
        <v>710</v>
      </c>
      <c r="E26" s="19" t="s">
        <v>814</v>
      </c>
      <c r="F26" s="58">
        <v>8</v>
      </c>
      <c r="G26" s="43">
        <v>22</v>
      </c>
      <c r="H26" s="44">
        <v>58.3</v>
      </c>
      <c r="I26" s="44" t="s">
        <v>38</v>
      </c>
      <c r="J26" s="43">
        <v>120</v>
      </c>
      <c r="K26" s="44">
        <v>10.4</v>
      </c>
      <c r="L26" s="44" t="s">
        <v>122</v>
      </c>
      <c r="M26" s="43" t="s">
        <v>114</v>
      </c>
      <c r="N26" s="45">
        <v>0</v>
      </c>
      <c r="O26" s="45">
        <v>4</v>
      </c>
      <c r="P26" s="45">
        <v>3</v>
      </c>
      <c r="Q26" s="45">
        <v>1</v>
      </c>
      <c r="R26" s="46">
        <v>3.9</v>
      </c>
      <c r="S26" s="46">
        <v>4.2300000000000004</v>
      </c>
      <c r="T26" s="46">
        <v>347</v>
      </c>
      <c r="U26" s="47">
        <v>3060</v>
      </c>
      <c r="V26" s="23">
        <v>24</v>
      </c>
      <c r="W26" s="38">
        <v>0</v>
      </c>
      <c r="X26" s="38">
        <v>1.8</v>
      </c>
      <c r="Y26" s="38">
        <v>22.2</v>
      </c>
      <c r="Z26" s="38">
        <v>0</v>
      </c>
      <c r="AA26" s="44">
        <v>0</v>
      </c>
      <c r="AB26" s="44">
        <v>4.9000000000000004</v>
      </c>
      <c r="AC26" s="52" t="s">
        <v>113</v>
      </c>
      <c r="AD26" s="13">
        <v>223</v>
      </c>
      <c r="AE26" s="20"/>
      <c r="AF26" s="13">
        <v>0</v>
      </c>
      <c r="AG26" s="20">
        <v>0</v>
      </c>
      <c r="AH26" s="20">
        <v>0</v>
      </c>
      <c r="AI26" s="20">
        <v>0.4</v>
      </c>
      <c r="AJ26" s="20">
        <v>1.7</v>
      </c>
      <c r="AK26" s="20">
        <v>0</v>
      </c>
      <c r="AL26" s="24">
        <f t="shared" si="1"/>
        <v>2.1</v>
      </c>
      <c r="AM26" s="12"/>
      <c r="AN26" s="12"/>
      <c r="AO26" s="20"/>
      <c r="AP26" s="12"/>
      <c r="AQ26" s="55">
        <f t="shared" si="2"/>
        <v>204.2</v>
      </c>
      <c r="AR26" s="21"/>
      <c r="AS26" s="12">
        <v>207</v>
      </c>
      <c r="AT26" s="26"/>
      <c r="AU26" s="49"/>
      <c r="AV26" s="139"/>
      <c r="AW26" s="140"/>
    </row>
    <row r="27" spans="1:49" s="4" customFormat="1" ht="19.399999999999999" customHeight="1">
      <c r="A27" s="18" t="s">
        <v>134</v>
      </c>
      <c r="B27" s="18" t="s">
        <v>786</v>
      </c>
      <c r="C27" s="19" t="s">
        <v>710</v>
      </c>
      <c r="D27" s="19" t="s">
        <v>710</v>
      </c>
      <c r="E27" s="19" t="s">
        <v>815</v>
      </c>
      <c r="F27" s="58">
        <v>8</v>
      </c>
      <c r="G27" s="43">
        <v>22</v>
      </c>
      <c r="H27" s="44">
        <v>58.3</v>
      </c>
      <c r="I27" s="44" t="s">
        <v>38</v>
      </c>
      <c r="J27" s="43">
        <v>120</v>
      </c>
      <c r="K27" s="44">
        <v>10.4</v>
      </c>
      <c r="L27" s="44" t="s">
        <v>122</v>
      </c>
      <c r="M27" s="43" t="s">
        <v>816</v>
      </c>
      <c r="N27" s="45">
        <v>0</v>
      </c>
      <c r="O27" s="45">
        <v>4</v>
      </c>
      <c r="P27" s="45">
        <v>3</v>
      </c>
      <c r="Q27" s="45">
        <v>1</v>
      </c>
      <c r="R27" s="46">
        <v>3.9</v>
      </c>
      <c r="S27" s="46">
        <v>4.2300000000000004</v>
      </c>
      <c r="T27" s="46">
        <v>347</v>
      </c>
      <c r="U27" s="47">
        <v>3060</v>
      </c>
      <c r="V27" s="23">
        <v>24</v>
      </c>
      <c r="W27" s="38">
        <v>0</v>
      </c>
      <c r="X27" s="38">
        <v>0</v>
      </c>
      <c r="Y27" s="38">
        <v>24</v>
      </c>
      <c r="Z27" s="38">
        <v>0</v>
      </c>
      <c r="AA27" s="44">
        <v>0</v>
      </c>
      <c r="AB27" s="44">
        <v>0</v>
      </c>
      <c r="AC27" s="52" t="s">
        <v>113</v>
      </c>
      <c r="AD27" s="13">
        <v>212</v>
      </c>
      <c r="AE27" s="20"/>
      <c r="AF27" s="13">
        <v>0</v>
      </c>
      <c r="AG27" s="20">
        <v>0</v>
      </c>
      <c r="AH27" s="20">
        <v>0</v>
      </c>
      <c r="AI27" s="20">
        <v>0</v>
      </c>
      <c r="AJ27" s="20">
        <v>1.9</v>
      </c>
      <c r="AK27" s="20">
        <v>0</v>
      </c>
      <c r="AL27" s="24">
        <f t="shared" si="1"/>
        <v>1.9</v>
      </c>
      <c r="AM27" s="12"/>
      <c r="AN27" s="12"/>
      <c r="AO27" s="12"/>
      <c r="AP27" s="12"/>
      <c r="AQ27" s="55">
        <f t="shared" si="2"/>
        <v>202.29999999999998</v>
      </c>
      <c r="AR27" s="21"/>
      <c r="AS27" s="12">
        <v>202</v>
      </c>
      <c r="AT27" s="26"/>
      <c r="AU27" s="49"/>
      <c r="AV27" s="136"/>
      <c r="AW27" s="137"/>
    </row>
    <row r="28" spans="1:49" s="4" customFormat="1" ht="19.399999999999999" customHeight="1">
      <c r="A28" s="18" t="s">
        <v>134</v>
      </c>
      <c r="B28" s="18" t="s">
        <v>786</v>
      </c>
      <c r="C28" s="19" t="s">
        <v>710</v>
      </c>
      <c r="D28" s="19" t="s">
        <v>710</v>
      </c>
      <c r="E28" s="19" t="s">
        <v>817</v>
      </c>
      <c r="F28" s="58">
        <v>8</v>
      </c>
      <c r="G28" s="43">
        <v>22</v>
      </c>
      <c r="H28" s="44">
        <v>58.3</v>
      </c>
      <c r="I28" s="44" t="s">
        <v>38</v>
      </c>
      <c r="J28" s="43">
        <v>120</v>
      </c>
      <c r="K28" s="44">
        <v>10.4</v>
      </c>
      <c r="L28" s="44" t="s">
        <v>122</v>
      </c>
      <c r="M28" s="43" t="s">
        <v>115</v>
      </c>
      <c r="N28" s="45">
        <v>0</v>
      </c>
      <c r="O28" s="45">
        <v>3</v>
      </c>
      <c r="P28" s="45">
        <v>2</v>
      </c>
      <c r="Q28" s="45">
        <v>1</v>
      </c>
      <c r="R28" s="46">
        <v>3.9</v>
      </c>
      <c r="S28" s="46">
        <v>4.2300000000000004</v>
      </c>
      <c r="T28" s="46">
        <v>347</v>
      </c>
      <c r="U28" s="47">
        <v>3060</v>
      </c>
      <c r="V28" s="23">
        <v>24</v>
      </c>
      <c r="W28" s="38">
        <v>0</v>
      </c>
      <c r="X28" s="38">
        <v>0</v>
      </c>
      <c r="Y28" s="38">
        <v>24</v>
      </c>
      <c r="Z28" s="38">
        <v>0</v>
      </c>
      <c r="AA28" s="44">
        <v>0</v>
      </c>
      <c r="AB28" s="44">
        <v>0</v>
      </c>
      <c r="AC28" s="52" t="s">
        <v>113</v>
      </c>
      <c r="AD28" s="13">
        <v>222</v>
      </c>
      <c r="AE28" s="20"/>
      <c r="AF28" s="20">
        <v>0</v>
      </c>
      <c r="AG28" s="20">
        <v>0</v>
      </c>
      <c r="AH28" s="20">
        <v>0</v>
      </c>
      <c r="AI28" s="20">
        <v>0</v>
      </c>
      <c r="AJ28" s="20">
        <v>2</v>
      </c>
      <c r="AK28" s="20">
        <v>0</v>
      </c>
      <c r="AL28" s="24">
        <f t="shared" si="1"/>
        <v>2</v>
      </c>
      <c r="AM28" s="12"/>
      <c r="AN28" s="12"/>
      <c r="AO28" s="12"/>
      <c r="AP28" s="12"/>
      <c r="AQ28" s="55">
        <f t="shared" si="2"/>
        <v>200.29999999999998</v>
      </c>
      <c r="AR28" s="21"/>
      <c r="AS28" s="12">
        <v>197</v>
      </c>
      <c r="AT28" s="26"/>
      <c r="AU28" s="49"/>
      <c r="AV28" s="136"/>
      <c r="AW28" s="137"/>
    </row>
    <row r="29" spans="1:49" s="4" customFormat="1" ht="19.399999999999999" customHeight="1">
      <c r="A29" s="18" t="s">
        <v>134</v>
      </c>
      <c r="B29" s="18" t="s">
        <v>786</v>
      </c>
      <c r="C29" s="19" t="s">
        <v>710</v>
      </c>
      <c r="D29" s="19" t="s">
        <v>710</v>
      </c>
      <c r="E29" s="19" t="s">
        <v>818</v>
      </c>
      <c r="F29" s="58">
        <v>8</v>
      </c>
      <c r="G29" s="43">
        <v>22</v>
      </c>
      <c r="H29" s="44">
        <v>58.3</v>
      </c>
      <c r="I29" s="44" t="s">
        <v>38</v>
      </c>
      <c r="J29" s="43">
        <v>120</v>
      </c>
      <c r="K29" s="44">
        <v>10.4</v>
      </c>
      <c r="L29" s="44" t="s">
        <v>122</v>
      </c>
      <c r="M29" s="43" t="s">
        <v>115</v>
      </c>
      <c r="N29" s="45">
        <v>0</v>
      </c>
      <c r="O29" s="45">
        <v>3</v>
      </c>
      <c r="P29" s="45">
        <v>2</v>
      </c>
      <c r="Q29" s="45">
        <v>1</v>
      </c>
      <c r="R29" s="46">
        <v>3.9</v>
      </c>
      <c r="S29" s="46">
        <v>4.2300000000000004</v>
      </c>
      <c r="T29" s="46">
        <v>347</v>
      </c>
      <c r="U29" s="47">
        <v>3060</v>
      </c>
      <c r="V29" s="23">
        <v>24</v>
      </c>
      <c r="W29" s="38">
        <v>0</v>
      </c>
      <c r="X29" s="38">
        <v>0</v>
      </c>
      <c r="Y29" s="38">
        <v>24</v>
      </c>
      <c r="Z29" s="38">
        <v>0</v>
      </c>
      <c r="AA29" s="44">
        <v>0</v>
      </c>
      <c r="AB29" s="44">
        <v>0</v>
      </c>
      <c r="AC29" s="52" t="s">
        <v>113</v>
      </c>
      <c r="AD29" s="13">
        <v>202</v>
      </c>
      <c r="AE29" s="20"/>
      <c r="AF29" s="20">
        <v>0</v>
      </c>
      <c r="AG29" s="20">
        <v>0</v>
      </c>
      <c r="AH29" s="20">
        <v>0</v>
      </c>
      <c r="AI29" s="20">
        <v>0</v>
      </c>
      <c r="AJ29" s="20">
        <v>1.9</v>
      </c>
      <c r="AK29" s="20">
        <v>0</v>
      </c>
      <c r="AL29" s="24">
        <f t="shared" si="1"/>
        <v>1.9</v>
      </c>
      <c r="AM29" s="12"/>
      <c r="AN29" s="12"/>
      <c r="AO29" s="12"/>
      <c r="AP29" s="12"/>
      <c r="AQ29" s="55">
        <f t="shared" si="2"/>
        <v>198.39999999999998</v>
      </c>
      <c r="AR29" s="21"/>
      <c r="AS29" s="12">
        <v>193</v>
      </c>
      <c r="AT29" s="26"/>
      <c r="AU29" s="49"/>
      <c r="AV29" s="136"/>
      <c r="AW29" s="137"/>
    </row>
    <row r="30" spans="1:49" s="4" customFormat="1" ht="19.399999999999999" customHeight="1">
      <c r="A30" s="18" t="s">
        <v>134</v>
      </c>
      <c r="B30" s="18" t="s">
        <v>822</v>
      </c>
      <c r="C30" s="19" t="s">
        <v>710</v>
      </c>
      <c r="D30" s="19" t="s">
        <v>710</v>
      </c>
      <c r="E30" s="19" t="s">
        <v>819</v>
      </c>
      <c r="F30" s="58">
        <v>8</v>
      </c>
      <c r="G30" s="43">
        <v>22</v>
      </c>
      <c r="H30" s="44">
        <v>54.5</v>
      </c>
      <c r="I30" s="44" t="s">
        <v>38</v>
      </c>
      <c r="J30" s="43">
        <v>120</v>
      </c>
      <c r="K30" s="44">
        <v>5.7</v>
      </c>
      <c r="L30" s="44" t="s">
        <v>122</v>
      </c>
      <c r="M30" s="43" t="s">
        <v>115</v>
      </c>
      <c r="N30" s="45">
        <v>0</v>
      </c>
      <c r="O30" s="45">
        <v>5</v>
      </c>
      <c r="P30" s="45">
        <v>3</v>
      </c>
      <c r="Q30" s="45">
        <v>2</v>
      </c>
      <c r="R30" s="46">
        <v>3.87</v>
      </c>
      <c r="S30" s="46">
        <v>3.98</v>
      </c>
      <c r="T30" s="46">
        <v>311</v>
      </c>
      <c r="U30" s="47">
        <v>2866</v>
      </c>
      <c r="V30" s="23">
        <v>24</v>
      </c>
      <c r="W30" s="38">
        <v>0</v>
      </c>
      <c r="X30" s="38">
        <v>2</v>
      </c>
      <c r="Y30" s="38">
        <v>22</v>
      </c>
      <c r="Z30" s="38">
        <v>0</v>
      </c>
      <c r="AA30" s="44">
        <v>9.1999999999999993</v>
      </c>
      <c r="AB30" s="44">
        <f t="shared" ref="AB30:AB35" si="3">AA30/24</f>
        <v>0.3833333333333333</v>
      </c>
      <c r="AC30" s="52" t="s">
        <v>131</v>
      </c>
      <c r="AD30" s="13" t="s">
        <v>820</v>
      </c>
      <c r="AE30" s="20"/>
      <c r="AF30" s="20" t="s">
        <v>135</v>
      </c>
      <c r="AG30" s="20" t="s">
        <v>821</v>
      </c>
      <c r="AH30" s="20">
        <v>0</v>
      </c>
      <c r="AI30" s="20">
        <v>0.1</v>
      </c>
      <c r="AJ30" s="20">
        <v>1.6</v>
      </c>
      <c r="AK30" s="20">
        <v>0</v>
      </c>
      <c r="AL30" s="24">
        <f t="shared" si="1"/>
        <v>1.7000000000000002</v>
      </c>
      <c r="AM30" s="12"/>
      <c r="AN30" s="12"/>
      <c r="AO30" s="12"/>
      <c r="AP30" s="12"/>
      <c r="AQ30" s="55">
        <f t="shared" si="2"/>
        <v>196.7</v>
      </c>
      <c r="AR30" s="21"/>
      <c r="AS30" s="53">
        <v>189</v>
      </c>
      <c r="AT30" s="26"/>
      <c r="AU30" s="49"/>
      <c r="AV30" s="139"/>
      <c r="AW30" s="140"/>
    </row>
    <row r="31" spans="1:49" s="4" customFormat="1" ht="19.399999999999999" customHeight="1">
      <c r="A31" s="18" t="s">
        <v>134</v>
      </c>
      <c r="B31" s="18" t="s">
        <v>823</v>
      </c>
      <c r="C31" s="19" t="s">
        <v>710</v>
      </c>
      <c r="D31" s="19" t="s">
        <v>710</v>
      </c>
      <c r="E31" s="19" t="s">
        <v>824</v>
      </c>
      <c r="F31" s="58">
        <v>8</v>
      </c>
      <c r="G31" s="43">
        <v>22</v>
      </c>
      <c r="H31" s="44">
        <v>48.2</v>
      </c>
      <c r="I31" s="44" t="s">
        <v>38</v>
      </c>
      <c r="J31" s="43">
        <v>119</v>
      </c>
      <c r="K31" s="44">
        <v>58.5</v>
      </c>
      <c r="L31" s="44" t="s">
        <v>122</v>
      </c>
      <c r="M31" s="43" t="s">
        <v>115</v>
      </c>
      <c r="N31" s="45">
        <v>2</v>
      </c>
      <c r="O31" s="45">
        <v>5</v>
      </c>
      <c r="P31" s="45">
        <v>3</v>
      </c>
      <c r="Q31" s="45">
        <v>2</v>
      </c>
      <c r="R31" s="46">
        <v>3.87</v>
      </c>
      <c r="S31" s="46">
        <v>3.98</v>
      </c>
      <c r="T31" s="46">
        <v>311</v>
      </c>
      <c r="U31" s="47">
        <v>2866</v>
      </c>
      <c r="V31" s="23">
        <v>24</v>
      </c>
      <c r="W31" s="38">
        <v>1.6</v>
      </c>
      <c r="X31" s="38">
        <v>0.4</v>
      </c>
      <c r="Y31" s="38">
        <v>22</v>
      </c>
      <c r="Z31" s="38">
        <v>0</v>
      </c>
      <c r="AA31" s="44">
        <v>33</v>
      </c>
      <c r="AB31" s="44">
        <f t="shared" si="3"/>
        <v>1.375</v>
      </c>
      <c r="AC31" s="52" t="s">
        <v>131</v>
      </c>
      <c r="AD31" s="13" t="s">
        <v>825</v>
      </c>
      <c r="AE31" s="20"/>
      <c r="AF31" s="20" t="s">
        <v>826</v>
      </c>
      <c r="AG31" s="20" t="s">
        <v>632</v>
      </c>
      <c r="AH31" s="20">
        <v>0.5</v>
      </c>
      <c r="AI31" s="20">
        <v>0.7</v>
      </c>
      <c r="AJ31" s="20">
        <v>1.2</v>
      </c>
      <c r="AK31" s="20">
        <v>0</v>
      </c>
      <c r="AL31" s="24">
        <f t="shared" si="1"/>
        <v>2.4</v>
      </c>
      <c r="AM31" s="12"/>
      <c r="AN31" s="12"/>
      <c r="AO31" s="12"/>
      <c r="AP31" s="12"/>
      <c r="AQ31" s="55">
        <f t="shared" si="2"/>
        <v>194.29999999999998</v>
      </c>
      <c r="AR31" s="21"/>
      <c r="AS31" s="12">
        <v>184</v>
      </c>
      <c r="AT31" s="26"/>
      <c r="AU31" s="49"/>
      <c r="AV31" s="139"/>
      <c r="AW31" s="140"/>
    </row>
    <row r="32" spans="1:49" s="4" customFormat="1" ht="19.399999999999999" customHeight="1">
      <c r="A32" s="18" t="s">
        <v>134</v>
      </c>
      <c r="B32" s="18" t="s">
        <v>823</v>
      </c>
      <c r="C32" s="19" t="s">
        <v>710</v>
      </c>
      <c r="D32" s="19" t="s">
        <v>710</v>
      </c>
      <c r="E32" s="19" t="s">
        <v>830</v>
      </c>
      <c r="F32" s="58">
        <v>8</v>
      </c>
      <c r="G32" s="43">
        <v>22</v>
      </c>
      <c r="H32" s="44">
        <v>17.100000000000001</v>
      </c>
      <c r="I32" s="44" t="s">
        <v>38</v>
      </c>
      <c r="J32" s="43">
        <v>120</v>
      </c>
      <c r="K32" s="44">
        <v>21.2</v>
      </c>
      <c r="L32" s="44" t="s">
        <v>122</v>
      </c>
      <c r="M32" s="43" t="s">
        <v>115</v>
      </c>
      <c r="N32" s="45">
        <v>0</v>
      </c>
      <c r="O32" s="45">
        <v>4</v>
      </c>
      <c r="P32" s="45">
        <v>3</v>
      </c>
      <c r="Q32" s="45">
        <v>2</v>
      </c>
      <c r="R32" s="46">
        <v>3.87</v>
      </c>
      <c r="S32" s="46">
        <v>3.98</v>
      </c>
      <c r="T32" s="46">
        <v>311</v>
      </c>
      <c r="U32" s="47">
        <v>2866</v>
      </c>
      <c r="V32" s="23">
        <v>24</v>
      </c>
      <c r="W32" s="38">
        <v>0</v>
      </c>
      <c r="X32" s="38">
        <v>24</v>
      </c>
      <c r="Y32" s="38">
        <v>0</v>
      </c>
      <c r="Z32" s="38">
        <v>0</v>
      </c>
      <c r="AA32" s="44">
        <v>122.8</v>
      </c>
      <c r="AB32" s="44">
        <f t="shared" si="3"/>
        <v>5.1166666666666663</v>
      </c>
      <c r="AC32" s="52" t="s">
        <v>131</v>
      </c>
      <c r="AD32" s="43" t="s">
        <v>827</v>
      </c>
      <c r="AE32" s="40"/>
      <c r="AF32" s="20" t="s">
        <v>828</v>
      </c>
      <c r="AG32" s="20" t="s">
        <v>829</v>
      </c>
      <c r="AH32" s="20">
        <v>0</v>
      </c>
      <c r="AI32" s="20">
        <v>4.9000000000000004</v>
      </c>
      <c r="AJ32" s="20">
        <v>0</v>
      </c>
      <c r="AK32" s="20">
        <v>0</v>
      </c>
      <c r="AL32" s="24">
        <f t="shared" si="1"/>
        <v>4.9000000000000004</v>
      </c>
      <c r="AM32" s="12"/>
      <c r="AN32" s="12"/>
      <c r="AO32" s="12"/>
      <c r="AP32" s="12"/>
      <c r="AQ32" s="55">
        <f t="shared" si="2"/>
        <v>189.39999999999998</v>
      </c>
      <c r="AR32" s="38"/>
      <c r="AS32" s="38">
        <v>180</v>
      </c>
      <c r="AT32" s="26"/>
      <c r="AU32" s="49"/>
      <c r="AV32" s="139"/>
      <c r="AW32" s="140"/>
    </row>
    <row r="33" spans="1:49" s="4" customFormat="1" ht="19.399999999999999" customHeight="1">
      <c r="A33" s="18" t="s">
        <v>134</v>
      </c>
      <c r="B33" s="18" t="s">
        <v>823</v>
      </c>
      <c r="C33" s="19" t="s">
        <v>710</v>
      </c>
      <c r="D33" s="19" t="s">
        <v>710</v>
      </c>
      <c r="E33" s="19" t="s">
        <v>833</v>
      </c>
      <c r="F33" s="58">
        <v>8</v>
      </c>
      <c r="G33" s="43">
        <v>22</v>
      </c>
      <c r="H33" s="44">
        <v>56.7</v>
      </c>
      <c r="I33" s="44" t="s">
        <v>38</v>
      </c>
      <c r="J33" s="43">
        <v>120</v>
      </c>
      <c r="K33" s="44">
        <v>5.5</v>
      </c>
      <c r="L33" s="44" t="s">
        <v>122</v>
      </c>
      <c r="M33" s="43" t="s">
        <v>115</v>
      </c>
      <c r="N33" s="45">
        <v>0</v>
      </c>
      <c r="O33" s="45">
        <v>4</v>
      </c>
      <c r="P33" s="45">
        <v>3</v>
      </c>
      <c r="Q33" s="45">
        <v>1</v>
      </c>
      <c r="R33" s="46">
        <v>3.87</v>
      </c>
      <c r="S33" s="46">
        <v>3.98</v>
      </c>
      <c r="T33" s="46">
        <v>311</v>
      </c>
      <c r="U33" s="47">
        <v>2866</v>
      </c>
      <c r="V33" s="23">
        <v>24</v>
      </c>
      <c r="W33" s="38">
        <v>3.2</v>
      </c>
      <c r="X33" s="38">
        <v>20.8</v>
      </c>
      <c r="Y33" s="38">
        <v>0</v>
      </c>
      <c r="Z33" s="38">
        <v>0</v>
      </c>
      <c r="AA33" s="44">
        <v>116.4</v>
      </c>
      <c r="AB33" s="44">
        <f t="shared" si="3"/>
        <v>4.8500000000000005</v>
      </c>
      <c r="AC33" s="52" t="s">
        <v>131</v>
      </c>
      <c r="AD33" s="43" t="s">
        <v>831</v>
      </c>
      <c r="AE33" s="40"/>
      <c r="AF33" s="40" t="s">
        <v>169</v>
      </c>
      <c r="AG33" s="40" t="s">
        <v>832</v>
      </c>
      <c r="AH33" s="38">
        <v>1.7</v>
      </c>
      <c r="AI33" s="38">
        <v>4</v>
      </c>
      <c r="AJ33" s="38">
        <v>0</v>
      </c>
      <c r="AK33" s="38">
        <v>0</v>
      </c>
      <c r="AL33" s="24">
        <f t="shared" si="1"/>
        <v>5.7</v>
      </c>
      <c r="AM33" s="12"/>
      <c r="AN33" s="12"/>
      <c r="AO33" s="12"/>
      <c r="AP33" s="12"/>
      <c r="AQ33" s="55">
        <f t="shared" si="2"/>
        <v>183.7</v>
      </c>
      <c r="AR33" s="38"/>
      <c r="AS33" s="38">
        <v>174</v>
      </c>
      <c r="AT33" s="26"/>
      <c r="AU33" s="49"/>
      <c r="AV33" s="136"/>
      <c r="AW33" s="137"/>
    </row>
    <row r="34" spans="1:49" s="4" customFormat="1" ht="19.399999999999999" customHeight="1">
      <c r="A34" s="18" t="s">
        <v>134</v>
      </c>
      <c r="B34" s="18" t="s">
        <v>823</v>
      </c>
      <c r="C34" s="19" t="s">
        <v>710</v>
      </c>
      <c r="D34" s="19" t="s">
        <v>710</v>
      </c>
      <c r="E34" s="19" t="s">
        <v>834</v>
      </c>
      <c r="F34" s="58">
        <v>8</v>
      </c>
      <c r="G34" s="43">
        <v>22</v>
      </c>
      <c r="H34" s="44">
        <v>58.3</v>
      </c>
      <c r="I34" s="44" t="s">
        <v>38</v>
      </c>
      <c r="J34" s="43">
        <v>120</v>
      </c>
      <c r="K34" s="44">
        <v>10.4</v>
      </c>
      <c r="L34" s="44" t="s">
        <v>122</v>
      </c>
      <c r="M34" s="43" t="s">
        <v>115</v>
      </c>
      <c r="N34" s="45">
        <v>0</v>
      </c>
      <c r="O34" s="45">
        <v>3</v>
      </c>
      <c r="P34" s="45">
        <v>1</v>
      </c>
      <c r="Q34" s="45">
        <v>1</v>
      </c>
      <c r="R34" s="46">
        <v>3.87</v>
      </c>
      <c r="S34" s="46">
        <v>3.98</v>
      </c>
      <c r="T34" s="46">
        <v>311</v>
      </c>
      <c r="U34" s="47">
        <v>2866</v>
      </c>
      <c r="V34" s="23">
        <v>24</v>
      </c>
      <c r="W34" s="38">
        <v>0.6</v>
      </c>
      <c r="X34" s="38">
        <v>0.9</v>
      </c>
      <c r="Y34" s="38">
        <v>22.5</v>
      </c>
      <c r="Z34" s="38">
        <v>0</v>
      </c>
      <c r="AA34" s="44">
        <v>5.8</v>
      </c>
      <c r="AB34" s="44">
        <f t="shared" si="3"/>
        <v>0.24166666666666667</v>
      </c>
      <c r="AC34" s="52" t="s">
        <v>119</v>
      </c>
      <c r="AD34" s="40">
        <v>234</v>
      </c>
      <c r="AE34" s="40"/>
      <c r="AF34" s="41">
        <v>0</v>
      </c>
      <c r="AG34" s="40">
        <v>0</v>
      </c>
      <c r="AH34" s="38">
        <v>0.3</v>
      </c>
      <c r="AI34" s="38">
        <v>0.1</v>
      </c>
      <c r="AJ34" s="38">
        <v>1.3</v>
      </c>
      <c r="AK34" s="38">
        <v>0</v>
      </c>
      <c r="AL34" s="24">
        <f t="shared" si="1"/>
        <v>1.7000000000000002</v>
      </c>
      <c r="AM34" s="12"/>
      <c r="AN34" s="12"/>
      <c r="AO34" s="12"/>
      <c r="AP34" s="12"/>
      <c r="AQ34" s="55">
        <f t="shared" si="2"/>
        <v>182</v>
      </c>
      <c r="AR34" s="38"/>
      <c r="AS34" s="38">
        <v>165</v>
      </c>
      <c r="AT34" s="26"/>
      <c r="AU34" s="49"/>
      <c r="AV34" s="136"/>
      <c r="AW34" s="137"/>
    </row>
    <row r="35" spans="1:49" s="4" customFormat="1" ht="19.399999999999999" customHeight="1">
      <c r="A35" s="18" t="s">
        <v>134</v>
      </c>
      <c r="B35" s="18" t="s">
        <v>838</v>
      </c>
      <c r="C35" s="19" t="s">
        <v>710</v>
      </c>
      <c r="D35" s="19" t="s">
        <v>710</v>
      </c>
      <c r="E35" s="19" t="s">
        <v>837</v>
      </c>
      <c r="F35" s="58">
        <v>8</v>
      </c>
      <c r="G35" s="43">
        <v>22</v>
      </c>
      <c r="H35" s="44">
        <v>44.1</v>
      </c>
      <c r="I35" s="44" t="s">
        <v>38</v>
      </c>
      <c r="J35" s="43">
        <v>120</v>
      </c>
      <c r="K35" s="44">
        <v>7</v>
      </c>
      <c r="L35" s="44" t="s">
        <v>122</v>
      </c>
      <c r="M35" s="43" t="s">
        <v>115</v>
      </c>
      <c r="N35" s="45">
        <v>0</v>
      </c>
      <c r="O35" s="45">
        <v>3</v>
      </c>
      <c r="P35" s="45">
        <v>2</v>
      </c>
      <c r="Q35" s="45">
        <v>1</v>
      </c>
      <c r="R35" s="46">
        <v>3.8</v>
      </c>
      <c r="S35" s="46">
        <v>3.95</v>
      </c>
      <c r="T35" s="46">
        <v>311</v>
      </c>
      <c r="U35" s="47">
        <v>2866</v>
      </c>
      <c r="V35" s="23">
        <v>24</v>
      </c>
      <c r="W35" s="38">
        <v>1.6</v>
      </c>
      <c r="X35" s="38">
        <v>0.4</v>
      </c>
      <c r="Y35" s="38">
        <v>22</v>
      </c>
      <c r="Z35" s="38">
        <v>0</v>
      </c>
      <c r="AA35" s="44">
        <v>15.2</v>
      </c>
      <c r="AB35" s="44">
        <f t="shared" si="3"/>
        <v>0.6333333333333333</v>
      </c>
      <c r="AC35" s="52" t="s">
        <v>131</v>
      </c>
      <c r="AD35" s="40" t="s">
        <v>835</v>
      </c>
      <c r="AE35" s="40"/>
      <c r="AF35" s="41" t="s">
        <v>836</v>
      </c>
      <c r="AG35" s="40" t="s">
        <v>797</v>
      </c>
      <c r="AH35" s="38">
        <v>0.2</v>
      </c>
      <c r="AI35" s="38">
        <v>0.1</v>
      </c>
      <c r="AJ35" s="38">
        <v>1.5</v>
      </c>
      <c r="AK35" s="38">
        <v>0</v>
      </c>
      <c r="AL35" s="24">
        <f t="shared" si="1"/>
        <v>1.8</v>
      </c>
      <c r="AM35" s="12"/>
      <c r="AN35" s="12"/>
      <c r="AO35" s="12"/>
      <c r="AP35" s="12"/>
      <c r="AQ35" s="55">
        <f t="shared" si="2"/>
        <v>180.2</v>
      </c>
      <c r="AR35" s="38"/>
      <c r="AS35" s="38">
        <v>158</v>
      </c>
      <c r="AT35" s="26"/>
      <c r="AU35" s="49"/>
      <c r="AV35" s="136"/>
      <c r="AW35" s="137"/>
    </row>
    <row r="36" spans="1:49" s="4" customFormat="1" ht="19.399999999999999" customHeight="1">
      <c r="A36" s="18" t="s">
        <v>134</v>
      </c>
      <c r="B36" s="18" t="s">
        <v>838</v>
      </c>
      <c r="C36" s="19" t="s">
        <v>710</v>
      </c>
      <c r="D36" s="19" t="s">
        <v>710</v>
      </c>
      <c r="E36" s="19" t="s">
        <v>842</v>
      </c>
      <c r="F36" s="58">
        <v>8</v>
      </c>
      <c r="G36" s="43">
        <v>22</v>
      </c>
      <c r="H36" s="44">
        <v>16.7</v>
      </c>
      <c r="I36" s="44" t="s">
        <v>38</v>
      </c>
      <c r="J36" s="43">
        <v>120</v>
      </c>
      <c r="K36" s="44">
        <v>25.2</v>
      </c>
      <c r="L36" s="44" t="s">
        <v>122</v>
      </c>
      <c r="M36" s="43" t="s">
        <v>115</v>
      </c>
      <c r="N36" s="45">
        <v>0</v>
      </c>
      <c r="O36" s="45">
        <v>3</v>
      </c>
      <c r="P36" s="45">
        <v>2</v>
      </c>
      <c r="Q36" s="45">
        <v>1</v>
      </c>
      <c r="R36" s="46">
        <v>3.8</v>
      </c>
      <c r="S36" s="46">
        <v>3.95</v>
      </c>
      <c r="T36" s="46">
        <v>311</v>
      </c>
      <c r="U36" s="47">
        <v>2866</v>
      </c>
      <c r="V36" s="23">
        <v>24</v>
      </c>
      <c r="W36" s="38">
        <v>5</v>
      </c>
      <c r="X36" s="38">
        <v>19</v>
      </c>
      <c r="Y36" s="38">
        <v>0</v>
      </c>
      <c r="Z36" s="38">
        <v>0</v>
      </c>
      <c r="AA36" s="44">
        <v>107.5</v>
      </c>
      <c r="AB36" s="44">
        <f t="shared" ref="AB36" si="4">AA36/24</f>
        <v>4.479166666666667</v>
      </c>
      <c r="AC36" s="52" t="s">
        <v>131</v>
      </c>
      <c r="AD36" s="40" t="s">
        <v>839</v>
      </c>
      <c r="AE36" s="40"/>
      <c r="AF36" s="41" t="s">
        <v>840</v>
      </c>
      <c r="AG36" s="40" t="s">
        <v>841</v>
      </c>
      <c r="AH36" s="38">
        <v>2</v>
      </c>
      <c r="AI36" s="38">
        <v>3.6</v>
      </c>
      <c r="AJ36" s="38">
        <v>0</v>
      </c>
      <c r="AK36" s="38">
        <v>0</v>
      </c>
      <c r="AL36" s="24">
        <f t="shared" si="1"/>
        <v>5.6</v>
      </c>
      <c r="AM36" s="12"/>
      <c r="AN36" s="12"/>
      <c r="AO36" s="12"/>
      <c r="AP36" s="12"/>
      <c r="AQ36" s="55">
        <f t="shared" si="2"/>
        <v>174.6</v>
      </c>
      <c r="AR36" s="38"/>
      <c r="AS36" s="38">
        <v>153</v>
      </c>
      <c r="AT36" s="26"/>
      <c r="AU36" s="49"/>
      <c r="AV36" s="136"/>
      <c r="AW36" s="137"/>
    </row>
    <row r="37" spans="1:49" ht="18" customHeight="1">
      <c r="A37" s="18" t="s">
        <v>134</v>
      </c>
      <c r="B37" s="18" t="s">
        <v>838</v>
      </c>
      <c r="C37" s="19" t="s">
        <v>710</v>
      </c>
      <c r="D37" s="19" t="s">
        <v>710</v>
      </c>
      <c r="E37" s="19" t="s">
        <v>843</v>
      </c>
      <c r="F37" s="58">
        <v>8</v>
      </c>
      <c r="G37" s="43">
        <v>22</v>
      </c>
      <c r="H37" s="44">
        <v>57.9</v>
      </c>
      <c r="I37" s="44" t="s">
        <v>38</v>
      </c>
      <c r="J37" s="43">
        <v>120</v>
      </c>
      <c r="K37" s="44">
        <v>10.199999999999999</v>
      </c>
      <c r="L37" s="44" t="s">
        <v>122</v>
      </c>
      <c r="M37" s="43" t="s">
        <v>115</v>
      </c>
      <c r="N37" s="45">
        <v>1</v>
      </c>
      <c r="O37" s="45">
        <v>3</v>
      </c>
      <c r="P37" s="45">
        <v>2</v>
      </c>
      <c r="Q37" s="45">
        <v>1</v>
      </c>
      <c r="R37" s="46">
        <v>3.8</v>
      </c>
      <c r="S37" s="46">
        <v>3.95</v>
      </c>
      <c r="T37" s="46">
        <v>311</v>
      </c>
      <c r="U37" s="47">
        <v>2866</v>
      </c>
      <c r="V37" s="23">
        <v>24</v>
      </c>
      <c r="W37" s="38">
        <v>7.3</v>
      </c>
      <c r="X37" s="38">
        <v>15.5</v>
      </c>
      <c r="Y37" s="38">
        <v>1.2</v>
      </c>
      <c r="Z37" s="38">
        <v>0</v>
      </c>
      <c r="AA37" s="44">
        <v>89.3</v>
      </c>
      <c r="AB37" s="44">
        <f t="shared" ref="AB37" si="5">AA37/24</f>
        <v>3.7208333333333332</v>
      </c>
      <c r="AC37" s="52" t="s">
        <v>113</v>
      </c>
      <c r="AD37" s="40">
        <v>212</v>
      </c>
      <c r="AE37" s="40"/>
      <c r="AF37" s="41">
        <v>0</v>
      </c>
      <c r="AG37" s="40">
        <v>0</v>
      </c>
      <c r="AH37" s="38">
        <v>1.4</v>
      </c>
      <c r="AI37" s="38">
        <v>3.5</v>
      </c>
      <c r="AJ37" s="38">
        <v>0.1</v>
      </c>
      <c r="AK37" s="38">
        <v>0</v>
      </c>
      <c r="AL37" s="24">
        <f t="shared" si="1"/>
        <v>5</v>
      </c>
      <c r="AM37" s="12"/>
      <c r="AN37" s="12"/>
      <c r="AO37" s="12"/>
      <c r="AP37" s="12"/>
      <c r="AQ37" s="55">
        <f t="shared" si="2"/>
        <v>169.6</v>
      </c>
      <c r="AR37" s="38"/>
      <c r="AS37" s="38">
        <v>147</v>
      </c>
      <c r="AT37" s="26"/>
      <c r="AU37" s="49"/>
      <c r="AV37" s="136"/>
      <c r="AW37" s="137"/>
    </row>
    <row r="38" spans="1:49" ht="19.399999999999999" customHeight="1">
      <c r="A38" s="18" t="s">
        <v>134</v>
      </c>
      <c r="B38" s="18" t="s">
        <v>838</v>
      </c>
      <c r="C38" s="19" t="s">
        <v>710</v>
      </c>
      <c r="D38" s="19" t="s">
        <v>710</v>
      </c>
      <c r="E38" s="19" t="s">
        <v>844</v>
      </c>
      <c r="F38" s="58">
        <v>8</v>
      </c>
      <c r="G38" s="43">
        <v>22</v>
      </c>
      <c r="H38" s="44">
        <v>57.9</v>
      </c>
      <c r="I38" s="44" t="s">
        <v>38</v>
      </c>
      <c r="J38" s="43">
        <v>120</v>
      </c>
      <c r="K38" s="44">
        <v>10.199999999999999</v>
      </c>
      <c r="L38" s="44" t="s">
        <v>122</v>
      </c>
      <c r="M38" s="43" t="s">
        <v>115</v>
      </c>
      <c r="N38" s="45">
        <v>1</v>
      </c>
      <c r="O38" s="45">
        <v>3</v>
      </c>
      <c r="P38" s="45">
        <v>1</v>
      </c>
      <c r="Q38" s="45">
        <v>1</v>
      </c>
      <c r="R38" s="46">
        <v>3.8</v>
      </c>
      <c r="S38" s="46">
        <v>3.95</v>
      </c>
      <c r="T38" s="46">
        <v>311</v>
      </c>
      <c r="U38" s="47">
        <v>2866</v>
      </c>
      <c r="V38" s="23">
        <v>24</v>
      </c>
      <c r="W38" s="38">
        <v>7.3</v>
      </c>
      <c r="X38" s="38">
        <v>15.5</v>
      </c>
      <c r="Y38" s="38">
        <v>1.2</v>
      </c>
      <c r="Z38" s="38">
        <v>0</v>
      </c>
      <c r="AA38" s="44">
        <v>0</v>
      </c>
      <c r="AB38" s="44">
        <f t="shared" ref="AB38" si="6">AA38/24</f>
        <v>0</v>
      </c>
      <c r="AC38" s="52" t="s">
        <v>113</v>
      </c>
      <c r="AD38" s="40">
        <v>218</v>
      </c>
      <c r="AE38" s="40"/>
      <c r="AF38" s="41">
        <v>0</v>
      </c>
      <c r="AG38" s="40">
        <v>0</v>
      </c>
      <c r="AH38" s="38">
        <v>0</v>
      </c>
      <c r="AI38" s="38">
        <v>0</v>
      </c>
      <c r="AJ38" s="38">
        <v>1.9</v>
      </c>
      <c r="AK38" s="38">
        <v>0</v>
      </c>
      <c r="AL38" s="24">
        <f t="shared" si="1"/>
        <v>1.9</v>
      </c>
      <c r="AM38" s="12"/>
      <c r="AN38" s="12"/>
      <c r="AO38" s="12"/>
      <c r="AP38" s="12"/>
      <c r="AQ38" s="55">
        <f t="shared" si="2"/>
        <v>167.7</v>
      </c>
      <c r="AR38" s="38"/>
      <c r="AS38" s="38">
        <v>139</v>
      </c>
      <c r="AT38" s="26"/>
      <c r="AU38" s="49"/>
      <c r="AV38" s="136"/>
      <c r="AW38" s="137"/>
    </row>
    <row r="39" spans="1:49" ht="19.399999999999999" customHeight="1">
      <c r="A39" s="18" t="s">
        <v>134</v>
      </c>
      <c r="B39" s="18" t="s">
        <v>838</v>
      </c>
      <c r="C39" s="19" t="s">
        <v>710</v>
      </c>
      <c r="D39" s="19" t="s">
        <v>710</v>
      </c>
      <c r="E39" s="19" t="s">
        <v>845</v>
      </c>
      <c r="F39" s="58">
        <v>8</v>
      </c>
      <c r="G39" s="43">
        <v>22</v>
      </c>
      <c r="H39" s="44">
        <v>57.9</v>
      </c>
      <c r="I39" s="44" t="s">
        <v>38</v>
      </c>
      <c r="J39" s="43">
        <v>120</v>
      </c>
      <c r="K39" s="44">
        <v>10.199999999999999</v>
      </c>
      <c r="L39" s="44" t="s">
        <v>122</v>
      </c>
      <c r="M39" s="43" t="s">
        <v>115</v>
      </c>
      <c r="N39" s="45">
        <v>1</v>
      </c>
      <c r="O39" s="45">
        <v>3</v>
      </c>
      <c r="P39" s="45">
        <v>1</v>
      </c>
      <c r="Q39" s="45">
        <v>1</v>
      </c>
      <c r="R39" s="46">
        <v>3.7</v>
      </c>
      <c r="S39" s="46">
        <v>3.88</v>
      </c>
      <c r="T39" s="46">
        <v>293</v>
      </c>
      <c r="U39" s="47">
        <v>2767</v>
      </c>
      <c r="V39" s="23">
        <v>24</v>
      </c>
      <c r="W39" s="38">
        <v>0</v>
      </c>
      <c r="X39" s="38">
        <v>0</v>
      </c>
      <c r="Y39" s="38">
        <v>24</v>
      </c>
      <c r="Z39" s="38">
        <v>0</v>
      </c>
      <c r="AA39" s="44">
        <v>0</v>
      </c>
      <c r="AB39" s="44">
        <f t="shared" ref="AB39" si="7">AA39/24</f>
        <v>0</v>
      </c>
      <c r="AC39" s="52" t="s">
        <v>113</v>
      </c>
      <c r="AD39" s="40">
        <v>221</v>
      </c>
      <c r="AE39" s="40"/>
      <c r="AF39" s="41">
        <v>0</v>
      </c>
      <c r="AG39" s="40">
        <v>0</v>
      </c>
      <c r="AH39" s="38">
        <v>0</v>
      </c>
      <c r="AI39" s="38">
        <v>0</v>
      </c>
      <c r="AJ39" s="38">
        <v>1.8</v>
      </c>
      <c r="AK39" s="38">
        <v>0</v>
      </c>
      <c r="AL39" s="24">
        <f t="shared" si="1"/>
        <v>1.8</v>
      </c>
      <c r="AM39" s="12"/>
      <c r="AN39" s="12"/>
      <c r="AO39" s="12"/>
      <c r="AP39" s="12"/>
      <c r="AQ39" s="55">
        <f t="shared" si="2"/>
        <v>165.89999999999998</v>
      </c>
      <c r="AR39" s="38"/>
      <c r="AS39" s="38">
        <v>134</v>
      </c>
      <c r="AT39" s="26"/>
      <c r="AU39" s="49"/>
      <c r="AV39" s="136"/>
      <c r="AW39" s="137"/>
    </row>
    <row r="40" spans="1:49" ht="19.399999999999999" customHeight="1">
      <c r="A40" s="18" t="s">
        <v>134</v>
      </c>
      <c r="B40" s="18" t="s">
        <v>848</v>
      </c>
      <c r="C40" s="19" t="s">
        <v>710</v>
      </c>
      <c r="D40" s="19" t="s">
        <v>171</v>
      </c>
      <c r="E40" s="19" t="s">
        <v>847</v>
      </c>
      <c r="F40" s="58">
        <v>8</v>
      </c>
      <c r="G40" s="43">
        <v>22</v>
      </c>
      <c r="H40" s="44">
        <v>36.200000000000003</v>
      </c>
      <c r="I40" s="44" t="s">
        <v>38</v>
      </c>
      <c r="J40" s="43">
        <v>120</v>
      </c>
      <c r="K40" s="44">
        <v>14.3</v>
      </c>
      <c r="L40" s="44" t="s">
        <v>122</v>
      </c>
      <c r="M40" s="43" t="s">
        <v>115</v>
      </c>
      <c r="N40" s="45">
        <v>1</v>
      </c>
      <c r="O40" s="45">
        <v>3</v>
      </c>
      <c r="P40" s="45">
        <v>1</v>
      </c>
      <c r="Q40" s="45">
        <v>1</v>
      </c>
      <c r="R40" s="46">
        <v>3.7</v>
      </c>
      <c r="S40" s="46">
        <v>3.88</v>
      </c>
      <c r="T40" s="46">
        <v>293</v>
      </c>
      <c r="U40" s="47">
        <v>2767</v>
      </c>
      <c r="V40" s="23">
        <v>24</v>
      </c>
      <c r="W40" s="38">
        <v>3.5</v>
      </c>
      <c r="X40" s="38">
        <v>19.399999999999999</v>
      </c>
      <c r="Y40" s="38">
        <v>1.1000000000000001</v>
      </c>
      <c r="Z40" s="38">
        <v>0</v>
      </c>
      <c r="AA40" s="44">
        <v>27.9</v>
      </c>
      <c r="AB40" s="44">
        <f t="shared" ref="AB40:AB41" si="8">AA40/24</f>
        <v>1.1624999999999999</v>
      </c>
      <c r="AC40" s="52" t="s">
        <v>125</v>
      </c>
      <c r="AD40" s="40" t="s">
        <v>846</v>
      </c>
      <c r="AE40" s="40"/>
      <c r="AF40" s="41" t="s">
        <v>378</v>
      </c>
      <c r="AG40" s="40" t="s">
        <v>151</v>
      </c>
      <c r="AH40" s="38">
        <v>1.8</v>
      </c>
      <c r="AI40" s="38">
        <v>2.2000000000000002</v>
      </c>
      <c r="AJ40" s="38">
        <v>0.2</v>
      </c>
      <c r="AK40" s="38">
        <v>0</v>
      </c>
      <c r="AL40" s="24">
        <f t="shared" si="1"/>
        <v>4.2</v>
      </c>
      <c r="AM40" s="12"/>
      <c r="AN40" s="12"/>
      <c r="AO40" s="12"/>
      <c r="AP40" s="12"/>
      <c r="AQ40" s="55">
        <f t="shared" si="2"/>
        <v>161.69999999999999</v>
      </c>
      <c r="AR40" s="38"/>
      <c r="AS40" s="38">
        <v>128</v>
      </c>
      <c r="AT40" s="26"/>
      <c r="AU40" s="49"/>
      <c r="AV40" s="136"/>
      <c r="AW40" s="137"/>
    </row>
    <row r="41" spans="1:49" ht="19.399999999999999" customHeight="1">
      <c r="A41" s="18" t="s">
        <v>134</v>
      </c>
      <c r="B41" s="18" t="s">
        <v>848</v>
      </c>
      <c r="C41" s="19" t="s">
        <v>710</v>
      </c>
      <c r="D41" s="19" t="s">
        <v>171</v>
      </c>
      <c r="E41" s="19" t="s">
        <v>849</v>
      </c>
      <c r="F41" s="58">
        <v>8</v>
      </c>
      <c r="G41" s="43">
        <v>22</v>
      </c>
      <c r="H41" s="44">
        <v>36.700000000000003</v>
      </c>
      <c r="I41" s="44" t="s">
        <v>38</v>
      </c>
      <c r="J41" s="43">
        <v>120</v>
      </c>
      <c r="K41" s="44">
        <v>16.399999999999999</v>
      </c>
      <c r="L41" s="44" t="s">
        <v>122</v>
      </c>
      <c r="M41" s="43" t="s">
        <v>115</v>
      </c>
      <c r="N41" s="45">
        <v>1</v>
      </c>
      <c r="O41" s="45">
        <v>3</v>
      </c>
      <c r="P41" s="45">
        <v>1</v>
      </c>
      <c r="Q41" s="45">
        <v>1</v>
      </c>
      <c r="R41" s="46">
        <v>0</v>
      </c>
      <c r="S41" s="46">
        <v>0</v>
      </c>
      <c r="T41" s="46">
        <v>0</v>
      </c>
      <c r="U41" s="47">
        <v>2767</v>
      </c>
      <c r="V41" s="23">
        <v>24</v>
      </c>
      <c r="W41" s="38">
        <v>0</v>
      </c>
      <c r="X41" s="38">
        <v>4.5999999999999996</v>
      </c>
      <c r="Y41" s="38">
        <v>19.399999999999999</v>
      </c>
      <c r="Z41" s="38">
        <v>0</v>
      </c>
      <c r="AA41" s="44">
        <v>4</v>
      </c>
      <c r="AB41" s="44">
        <f t="shared" si="8"/>
        <v>0.16666666666666666</v>
      </c>
      <c r="AC41" s="52"/>
      <c r="AD41" s="40"/>
      <c r="AE41" s="40"/>
      <c r="AF41" s="41"/>
      <c r="AG41" s="40"/>
      <c r="AH41" s="38">
        <v>0</v>
      </c>
      <c r="AI41" s="38">
        <v>0.3</v>
      </c>
      <c r="AJ41" s="38">
        <v>1.8</v>
      </c>
      <c r="AK41" s="38">
        <v>0</v>
      </c>
      <c r="AL41" s="24">
        <f t="shared" si="1"/>
        <v>2.1</v>
      </c>
      <c r="AM41" s="12"/>
      <c r="AN41" s="12"/>
      <c r="AO41" s="12"/>
      <c r="AP41" s="12"/>
      <c r="AQ41" s="55">
        <f t="shared" si="2"/>
        <v>159.6</v>
      </c>
      <c r="AR41" s="38"/>
      <c r="AS41" s="38">
        <v>124</v>
      </c>
      <c r="AT41" s="26"/>
      <c r="AU41" s="49"/>
      <c r="AV41" s="136" t="s">
        <v>850</v>
      </c>
      <c r="AW41" s="137"/>
    </row>
    <row r="42" spans="1:49" ht="19.399999999999999" customHeight="1">
      <c r="A42" s="18" t="s">
        <v>134</v>
      </c>
      <c r="B42" s="18" t="s">
        <v>848</v>
      </c>
      <c r="C42" s="19" t="s">
        <v>710</v>
      </c>
      <c r="D42" s="19" t="s">
        <v>171</v>
      </c>
      <c r="E42" s="19" t="s">
        <v>851</v>
      </c>
      <c r="F42" s="58">
        <v>8</v>
      </c>
      <c r="G42" s="43">
        <v>22</v>
      </c>
      <c r="H42" s="44">
        <v>36.700000000000003</v>
      </c>
      <c r="I42" s="44" t="s">
        <v>38</v>
      </c>
      <c r="J42" s="43">
        <v>120</v>
      </c>
      <c r="K42" s="44">
        <v>16.399999999999999</v>
      </c>
      <c r="L42" s="44" t="s">
        <v>122</v>
      </c>
      <c r="M42" s="43" t="s">
        <v>115</v>
      </c>
      <c r="N42" s="45">
        <v>1</v>
      </c>
      <c r="O42" s="45">
        <v>3</v>
      </c>
      <c r="P42" s="45">
        <v>1</v>
      </c>
      <c r="Q42" s="45">
        <v>1</v>
      </c>
      <c r="R42" s="46">
        <v>0</v>
      </c>
      <c r="S42" s="46">
        <v>0</v>
      </c>
      <c r="T42" s="46">
        <v>0</v>
      </c>
      <c r="U42" s="47">
        <v>2767</v>
      </c>
      <c r="V42" s="23">
        <v>24</v>
      </c>
      <c r="W42" s="38">
        <v>0</v>
      </c>
      <c r="X42" s="38">
        <v>0</v>
      </c>
      <c r="Y42" s="38">
        <v>0</v>
      </c>
      <c r="Z42" s="38">
        <v>0</v>
      </c>
      <c r="AA42" s="44">
        <v>0</v>
      </c>
      <c r="AB42" s="44">
        <f t="shared" ref="AB42" si="9">AA42/24</f>
        <v>0</v>
      </c>
      <c r="AC42" s="52"/>
      <c r="AD42" s="40"/>
      <c r="AE42" s="40"/>
      <c r="AF42" s="40"/>
      <c r="AG42" s="40"/>
      <c r="AH42" s="38">
        <v>0</v>
      </c>
      <c r="AI42" s="38">
        <v>0</v>
      </c>
      <c r="AJ42" s="38">
        <v>0</v>
      </c>
      <c r="AK42" s="38">
        <v>0</v>
      </c>
      <c r="AL42" s="24">
        <f t="shared" si="1"/>
        <v>0</v>
      </c>
      <c r="AM42" s="12"/>
      <c r="AN42" s="12"/>
      <c r="AO42" s="12"/>
      <c r="AP42" s="12"/>
      <c r="AQ42" s="55">
        <f t="shared" si="2"/>
        <v>159.6</v>
      </c>
      <c r="AR42" s="38"/>
      <c r="AS42" s="38">
        <v>120</v>
      </c>
      <c r="AT42" s="26"/>
      <c r="AU42" s="49"/>
      <c r="AV42" s="136" t="s">
        <v>172</v>
      </c>
      <c r="AW42" s="137"/>
    </row>
    <row r="43" spans="1:49" ht="19.399999999999999" customHeight="1">
      <c r="A43" s="18" t="s">
        <v>134</v>
      </c>
      <c r="B43" s="18" t="s">
        <v>848</v>
      </c>
      <c r="C43" s="19" t="s">
        <v>710</v>
      </c>
      <c r="D43" s="19" t="s">
        <v>171</v>
      </c>
      <c r="E43" s="19" t="s">
        <v>852</v>
      </c>
      <c r="F43" s="58">
        <v>8</v>
      </c>
      <c r="G43" s="43">
        <v>22</v>
      </c>
      <c r="H43" s="44">
        <v>36.700000000000003</v>
      </c>
      <c r="I43" s="44" t="s">
        <v>38</v>
      </c>
      <c r="J43" s="43">
        <v>120</v>
      </c>
      <c r="K43" s="44">
        <v>16.399999999999999</v>
      </c>
      <c r="L43" s="44" t="s">
        <v>122</v>
      </c>
      <c r="M43" s="43" t="s">
        <v>115</v>
      </c>
      <c r="N43" s="45">
        <v>1</v>
      </c>
      <c r="O43" s="45">
        <v>3</v>
      </c>
      <c r="P43" s="45">
        <v>1</v>
      </c>
      <c r="Q43" s="45">
        <v>1</v>
      </c>
      <c r="R43" s="46">
        <v>0</v>
      </c>
      <c r="S43" s="46">
        <v>0</v>
      </c>
      <c r="T43" s="46">
        <v>0</v>
      </c>
      <c r="U43" s="47">
        <v>2767</v>
      </c>
      <c r="V43" s="23">
        <v>24</v>
      </c>
      <c r="W43" s="38">
        <v>0</v>
      </c>
      <c r="X43" s="38">
        <v>0</v>
      </c>
      <c r="Y43" s="38">
        <v>0</v>
      </c>
      <c r="Z43" s="38">
        <v>0</v>
      </c>
      <c r="AA43" s="44">
        <v>0</v>
      </c>
      <c r="AB43" s="44">
        <f t="shared" ref="AB43" si="10">AA43/24</f>
        <v>0</v>
      </c>
      <c r="AC43" s="52"/>
      <c r="AD43" s="40"/>
      <c r="AE43" s="40"/>
      <c r="AF43" s="40"/>
      <c r="AG43" s="40"/>
      <c r="AH43" s="38">
        <v>0</v>
      </c>
      <c r="AI43" s="38">
        <v>0</v>
      </c>
      <c r="AJ43" s="38">
        <v>0</v>
      </c>
      <c r="AK43" s="38">
        <v>0</v>
      </c>
      <c r="AL43" s="24">
        <f t="shared" ref="AL43:AL53" si="11">SUM(AH43:AK43)</f>
        <v>0</v>
      </c>
      <c r="AM43" s="12"/>
      <c r="AN43" s="12"/>
      <c r="AO43" s="12"/>
      <c r="AP43" s="12"/>
      <c r="AQ43" s="55">
        <f t="shared" ref="AQ43" si="12">AQ42-AL43</f>
        <v>159.6</v>
      </c>
      <c r="AR43" s="38"/>
      <c r="AS43" s="38">
        <v>115</v>
      </c>
      <c r="AT43" s="26"/>
      <c r="AU43" s="49"/>
      <c r="AV43" s="136" t="s">
        <v>172</v>
      </c>
      <c r="AW43" s="137"/>
    </row>
    <row r="44" spans="1:49" ht="19.399999999999999" customHeight="1">
      <c r="A44" s="18" t="s">
        <v>134</v>
      </c>
      <c r="B44" s="18" t="s">
        <v>848</v>
      </c>
      <c r="C44" s="19" t="s">
        <v>710</v>
      </c>
      <c r="D44" s="19" t="s">
        <v>171</v>
      </c>
      <c r="E44" s="19" t="s">
        <v>853</v>
      </c>
      <c r="F44" s="58">
        <v>8</v>
      </c>
      <c r="G44" s="43">
        <v>22</v>
      </c>
      <c r="H44" s="44">
        <v>36.700000000000003</v>
      </c>
      <c r="I44" s="44" t="s">
        <v>38</v>
      </c>
      <c r="J44" s="43">
        <v>120</v>
      </c>
      <c r="K44" s="44">
        <v>16.399999999999999</v>
      </c>
      <c r="L44" s="44" t="s">
        <v>122</v>
      </c>
      <c r="M44" s="43" t="s">
        <v>115</v>
      </c>
      <c r="N44" s="45">
        <v>1</v>
      </c>
      <c r="O44" s="45">
        <v>3</v>
      </c>
      <c r="P44" s="45">
        <v>1</v>
      </c>
      <c r="Q44" s="45">
        <v>1</v>
      </c>
      <c r="R44" s="46">
        <v>0</v>
      </c>
      <c r="S44" s="46">
        <v>0</v>
      </c>
      <c r="T44" s="46">
        <v>0</v>
      </c>
      <c r="U44" s="47">
        <v>2767</v>
      </c>
      <c r="V44" s="23">
        <v>24</v>
      </c>
      <c r="W44" s="38">
        <v>0</v>
      </c>
      <c r="X44" s="38">
        <v>0</v>
      </c>
      <c r="Y44" s="38">
        <v>0</v>
      </c>
      <c r="Z44" s="38">
        <v>0</v>
      </c>
      <c r="AA44" s="44">
        <v>0</v>
      </c>
      <c r="AB44" s="44">
        <f t="shared" ref="AB44" si="13">AA44/24</f>
        <v>0</v>
      </c>
      <c r="AC44" s="52"/>
      <c r="AD44" s="40"/>
      <c r="AE44" s="40"/>
      <c r="AF44" s="40"/>
      <c r="AG44" s="40"/>
      <c r="AH44" s="38"/>
      <c r="AI44" s="38"/>
      <c r="AJ44" s="38"/>
      <c r="AK44" s="38"/>
      <c r="AL44" s="24">
        <f t="shared" si="11"/>
        <v>0</v>
      </c>
      <c r="AM44" s="12"/>
      <c r="AN44" s="12"/>
      <c r="AO44" s="12"/>
      <c r="AP44" s="12"/>
      <c r="AQ44" s="55">
        <f t="shared" ref="AQ44" si="14">AQ43-AL44</f>
        <v>159.6</v>
      </c>
      <c r="AR44" s="38"/>
      <c r="AS44" s="38">
        <v>110</v>
      </c>
      <c r="AT44" s="26"/>
      <c r="AU44" s="49"/>
      <c r="AV44" s="136" t="s">
        <v>172</v>
      </c>
      <c r="AW44" s="137"/>
    </row>
    <row r="45" spans="1:49" ht="19.399999999999999" customHeight="1">
      <c r="A45" s="18" t="s">
        <v>134</v>
      </c>
      <c r="B45" s="18" t="s">
        <v>848</v>
      </c>
      <c r="C45" s="19" t="s">
        <v>710</v>
      </c>
      <c r="D45" s="19" t="s">
        <v>171</v>
      </c>
      <c r="E45" s="19" t="s">
        <v>854</v>
      </c>
      <c r="F45" s="58">
        <v>8</v>
      </c>
      <c r="G45" s="43">
        <v>22</v>
      </c>
      <c r="H45" s="44">
        <v>36.700000000000003</v>
      </c>
      <c r="I45" s="44" t="s">
        <v>38</v>
      </c>
      <c r="J45" s="43">
        <v>120</v>
      </c>
      <c r="K45" s="44">
        <v>16.399999999999999</v>
      </c>
      <c r="L45" s="44" t="s">
        <v>122</v>
      </c>
      <c r="M45" s="43" t="s">
        <v>115</v>
      </c>
      <c r="N45" s="45">
        <v>1</v>
      </c>
      <c r="O45" s="45">
        <v>3</v>
      </c>
      <c r="P45" s="45">
        <v>1</v>
      </c>
      <c r="Q45" s="45">
        <v>1</v>
      </c>
      <c r="R45" s="46">
        <v>0</v>
      </c>
      <c r="S45" s="46">
        <v>0</v>
      </c>
      <c r="T45" s="46">
        <v>0</v>
      </c>
      <c r="U45" s="47">
        <v>2767</v>
      </c>
      <c r="V45" s="23">
        <v>24</v>
      </c>
      <c r="W45" s="38">
        <v>0</v>
      </c>
      <c r="X45" s="38">
        <v>0</v>
      </c>
      <c r="Y45" s="38">
        <v>0</v>
      </c>
      <c r="Z45" s="38">
        <v>0</v>
      </c>
      <c r="AA45" s="44">
        <v>0</v>
      </c>
      <c r="AB45" s="44">
        <f t="shared" ref="AB45" si="15">AA45/24</f>
        <v>0</v>
      </c>
      <c r="AC45" s="52"/>
      <c r="AD45" s="40"/>
      <c r="AE45" s="40"/>
      <c r="AF45" s="40"/>
      <c r="AG45" s="40"/>
      <c r="AH45" s="38"/>
      <c r="AI45" s="38"/>
      <c r="AJ45" s="38"/>
      <c r="AK45" s="38"/>
      <c r="AL45" s="24">
        <f t="shared" si="11"/>
        <v>0</v>
      </c>
      <c r="AM45" s="12"/>
      <c r="AN45" s="12"/>
      <c r="AO45" s="12"/>
      <c r="AP45" s="12"/>
      <c r="AQ45" s="55">
        <f t="shared" ref="AQ45" si="16">AQ44-AL45</f>
        <v>159.6</v>
      </c>
      <c r="AR45" s="38"/>
      <c r="AS45" s="38">
        <v>104</v>
      </c>
      <c r="AT45" s="26"/>
      <c r="AU45" s="49"/>
      <c r="AV45" s="136" t="s">
        <v>172</v>
      </c>
      <c r="AW45" s="137"/>
    </row>
    <row r="46" spans="1:49" ht="19.399999999999999" customHeight="1">
      <c r="A46" s="18" t="s">
        <v>134</v>
      </c>
      <c r="B46" s="18" t="s">
        <v>848</v>
      </c>
      <c r="C46" s="19" t="s">
        <v>710</v>
      </c>
      <c r="D46" s="19" t="s">
        <v>171</v>
      </c>
      <c r="E46" s="19" t="s">
        <v>855</v>
      </c>
      <c r="F46" s="58">
        <v>8</v>
      </c>
      <c r="G46" s="43">
        <v>22</v>
      </c>
      <c r="H46" s="44">
        <v>36.700000000000003</v>
      </c>
      <c r="I46" s="44" t="s">
        <v>38</v>
      </c>
      <c r="J46" s="43">
        <v>120</v>
      </c>
      <c r="K46" s="44">
        <v>16.399999999999999</v>
      </c>
      <c r="L46" s="44" t="s">
        <v>122</v>
      </c>
      <c r="M46" s="43" t="s">
        <v>115</v>
      </c>
      <c r="N46" s="45">
        <v>1</v>
      </c>
      <c r="O46" s="45">
        <v>3</v>
      </c>
      <c r="P46" s="45">
        <v>1</v>
      </c>
      <c r="Q46" s="45">
        <v>1</v>
      </c>
      <c r="R46" s="46">
        <v>0</v>
      </c>
      <c r="S46" s="46">
        <v>0</v>
      </c>
      <c r="T46" s="46">
        <v>0</v>
      </c>
      <c r="U46" s="47">
        <v>2767</v>
      </c>
      <c r="V46" s="23">
        <v>24</v>
      </c>
      <c r="W46" s="38">
        <v>0</v>
      </c>
      <c r="X46" s="38">
        <v>0</v>
      </c>
      <c r="Y46" s="38">
        <v>0</v>
      </c>
      <c r="Z46" s="38">
        <v>0</v>
      </c>
      <c r="AA46" s="44">
        <v>0</v>
      </c>
      <c r="AB46" s="44">
        <f t="shared" ref="AB46" si="17">AA46/24</f>
        <v>0</v>
      </c>
      <c r="AC46" s="52"/>
      <c r="AD46" s="40"/>
      <c r="AE46" s="40"/>
      <c r="AF46" s="40"/>
      <c r="AG46" s="40"/>
      <c r="AH46" s="38"/>
      <c r="AI46" s="38"/>
      <c r="AJ46" s="38"/>
      <c r="AK46" s="38"/>
      <c r="AL46" s="24">
        <f t="shared" si="11"/>
        <v>0</v>
      </c>
      <c r="AM46" s="12"/>
      <c r="AN46" s="12"/>
      <c r="AO46" s="12"/>
      <c r="AP46" s="12"/>
      <c r="AQ46" s="55">
        <f t="shared" ref="AQ46" si="18">AQ45-AL46</f>
        <v>159.6</v>
      </c>
      <c r="AR46" s="38"/>
      <c r="AS46" s="38">
        <v>99</v>
      </c>
      <c r="AT46" s="26"/>
      <c r="AU46" s="49"/>
      <c r="AV46" s="136" t="s">
        <v>172</v>
      </c>
      <c r="AW46" s="137"/>
    </row>
    <row r="47" spans="1:49" ht="19.399999999999999" customHeight="1">
      <c r="A47" s="18" t="s">
        <v>134</v>
      </c>
      <c r="B47" s="18" t="s">
        <v>848</v>
      </c>
      <c r="C47" s="19" t="s">
        <v>710</v>
      </c>
      <c r="D47" s="19" t="s">
        <v>171</v>
      </c>
      <c r="E47" s="19" t="s">
        <v>856</v>
      </c>
      <c r="F47" s="58">
        <v>8</v>
      </c>
      <c r="G47" s="43">
        <v>22</v>
      </c>
      <c r="H47" s="44">
        <v>36.700000000000003</v>
      </c>
      <c r="I47" s="44" t="s">
        <v>38</v>
      </c>
      <c r="J47" s="43">
        <v>120</v>
      </c>
      <c r="K47" s="44">
        <v>16.399999999999999</v>
      </c>
      <c r="L47" s="44" t="s">
        <v>122</v>
      </c>
      <c r="M47" s="43" t="s">
        <v>117</v>
      </c>
      <c r="N47" s="45">
        <v>1</v>
      </c>
      <c r="O47" s="45">
        <v>3</v>
      </c>
      <c r="P47" s="45">
        <v>1</v>
      </c>
      <c r="Q47" s="45">
        <v>1</v>
      </c>
      <c r="R47" s="46">
        <v>0</v>
      </c>
      <c r="S47" s="46">
        <v>0</v>
      </c>
      <c r="T47" s="46">
        <v>0</v>
      </c>
      <c r="U47" s="47">
        <v>2767</v>
      </c>
      <c r="V47" s="23">
        <v>24</v>
      </c>
      <c r="W47" s="38">
        <v>0</v>
      </c>
      <c r="X47" s="38">
        <v>0</v>
      </c>
      <c r="Y47" s="38">
        <v>0</v>
      </c>
      <c r="Z47" s="38">
        <v>0</v>
      </c>
      <c r="AA47" s="44">
        <v>0</v>
      </c>
      <c r="AB47" s="44">
        <f t="shared" ref="AB47" si="19">AA47/24</f>
        <v>0</v>
      </c>
      <c r="AC47" s="52"/>
      <c r="AD47" s="40"/>
      <c r="AE47" s="40"/>
      <c r="AF47" s="40"/>
      <c r="AG47" s="40"/>
      <c r="AH47" s="38"/>
      <c r="AI47" s="38"/>
      <c r="AJ47" s="38"/>
      <c r="AK47" s="38"/>
      <c r="AL47" s="24">
        <f t="shared" si="11"/>
        <v>0</v>
      </c>
      <c r="AM47" s="12"/>
      <c r="AN47" s="12"/>
      <c r="AO47" s="12"/>
      <c r="AP47" s="12"/>
      <c r="AQ47" s="55">
        <f t="shared" ref="AQ47" si="20">AQ46-AL47</f>
        <v>159.6</v>
      </c>
      <c r="AR47" s="38"/>
      <c r="AS47" s="38">
        <v>74</v>
      </c>
      <c r="AT47" s="26"/>
      <c r="AU47" s="49"/>
      <c r="AV47" s="136" t="s">
        <v>172</v>
      </c>
      <c r="AW47" s="137"/>
    </row>
    <row r="48" spans="1:49" ht="19.399999999999999" customHeight="1">
      <c r="A48" s="18" t="s">
        <v>134</v>
      </c>
      <c r="B48" s="18" t="s">
        <v>848</v>
      </c>
      <c r="C48" s="19" t="s">
        <v>710</v>
      </c>
      <c r="D48" s="19" t="s">
        <v>171</v>
      </c>
      <c r="E48" s="19" t="s">
        <v>857</v>
      </c>
      <c r="F48" s="58">
        <v>8</v>
      </c>
      <c r="G48" s="43">
        <v>22</v>
      </c>
      <c r="H48" s="44">
        <v>36.700000000000003</v>
      </c>
      <c r="I48" s="44" t="s">
        <v>38</v>
      </c>
      <c r="J48" s="43">
        <v>120</v>
      </c>
      <c r="K48" s="44">
        <v>16.399999999999999</v>
      </c>
      <c r="L48" s="44" t="s">
        <v>122</v>
      </c>
      <c r="M48" s="43" t="s">
        <v>115</v>
      </c>
      <c r="N48" s="45">
        <v>14</v>
      </c>
      <c r="O48" s="45">
        <v>3</v>
      </c>
      <c r="P48" s="45">
        <v>1</v>
      </c>
      <c r="Q48" s="45">
        <v>1</v>
      </c>
      <c r="R48" s="46">
        <v>0</v>
      </c>
      <c r="S48" s="46">
        <v>0</v>
      </c>
      <c r="T48" s="46">
        <v>0</v>
      </c>
      <c r="U48" s="47">
        <v>2767</v>
      </c>
      <c r="V48" s="23">
        <v>24</v>
      </c>
      <c r="W48" s="38">
        <v>0</v>
      </c>
      <c r="X48" s="38">
        <v>0</v>
      </c>
      <c r="Y48" s="38">
        <v>0</v>
      </c>
      <c r="Z48" s="38">
        <v>0</v>
      </c>
      <c r="AA48" s="44">
        <v>0</v>
      </c>
      <c r="AB48" s="44">
        <f t="shared" ref="AB48" si="21">AA48/24</f>
        <v>0</v>
      </c>
      <c r="AC48" s="52"/>
      <c r="AD48" s="40"/>
      <c r="AE48" s="40"/>
      <c r="AF48" s="40"/>
      <c r="AG48" s="40"/>
      <c r="AH48" s="38"/>
      <c r="AI48" s="38"/>
      <c r="AJ48" s="38"/>
      <c r="AK48" s="38"/>
      <c r="AL48" s="24">
        <f t="shared" si="11"/>
        <v>0</v>
      </c>
      <c r="AM48" s="12"/>
      <c r="AN48" s="12"/>
      <c r="AO48" s="12"/>
      <c r="AP48" s="12"/>
      <c r="AQ48" s="55">
        <f t="shared" ref="AQ48" si="22">AQ47-AL48</f>
        <v>159.6</v>
      </c>
      <c r="AR48" s="38"/>
      <c r="AS48" s="38">
        <v>51</v>
      </c>
      <c r="AT48" s="26"/>
      <c r="AU48" s="49"/>
      <c r="AV48" s="136" t="s">
        <v>172</v>
      </c>
      <c r="AW48" s="137"/>
    </row>
    <row r="49" spans="1:50" ht="19.399999999999999" customHeight="1">
      <c r="A49" s="18" t="s">
        <v>134</v>
      </c>
      <c r="B49" s="18" t="s">
        <v>848</v>
      </c>
      <c r="C49" s="19" t="s">
        <v>710</v>
      </c>
      <c r="D49" s="19" t="s">
        <v>171</v>
      </c>
      <c r="E49" s="19" t="s">
        <v>858</v>
      </c>
      <c r="F49" s="58">
        <v>8</v>
      </c>
      <c r="G49" s="43">
        <v>22</v>
      </c>
      <c r="H49" s="44">
        <v>36.700000000000003</v>
      </c>
      <c r="I49" s="44" t="s">
        <v>38</v>
      </c>
      <c r="J49" s="43">
        <v>120</v>
      </c>
      <c r="K49" s="44">
        <v>16.399999999999999</v>
      </c>
      <c r="L49" s="44" t="s">
        <v>122</v>
      </c>
      <c r="M49" s="43" t="s">
        <v>115</v>
      </c>
      <c r="N49" s="45">
        <v>0</v>
      </c>
      <c r="O49" s="45">
        <v>3</v>
      </c>
      <c r="P49" s="45">
        <v>1</v>
      </c>
      <c r="Q49" s="45">
        <v>1</v>
      </c>
      <c r="R49" s="46">
        <v>0</v>
      </c>
      <c r="S49" s="46">
        <v>0</v>
      </c>
      <c r="T49" s="46">
        <v>0</v>
      </c>
      <c r="U49" s="47">
        <v>2767</v>
      </c>
      <c r="V49" s="23">
        <v>24</v>
      </c>
      <c r="W49" s="38">
        <v>0</v>
      </c>
      <c r="X49" s="38">
        <v>0</v>
      </c>
      <c r="Y49" s="38">
        <v>0</v>
      </c>
      <c r="Z49" s="38">
        <v>0</v>
      </c>
      <c r="AA49" s="44">
        <v>0</v>
      </c>
      <c r="AB49" s="44">
        <f t="shared" ref="AB49" si="23">AA49/24</f>
        <v>0</v>
      </c>
      <c r="AC49" s="52"/>
      <c r="AD49" s="40"/>
      <c r="AE49" s="40"/>
      <c r="AF49" s="40"/>
      <c r="AG49" s="40"/>
      <c r="AH49" s="38"/>
      <c r="AI49" s="38"/>
      <c r="AJ49" s="38"/>
      <c r="AK49" s="38"/>
      <c r="AL49" s="24">
        <f t="shared" si="11"/>
        <v>0</v>
      </c>
      <c r="AM49" s="12"/>
      <c r="AN49" s="12"/>
      <c r="AO49" s="12"/>
      <c r="AP49" s="12"/>
      <c r="AQ49" s="55">
        <f t="shared" ref="AQ49" si="24">AQ48-AL49</f>
        <v>159.6</v>
      </c>
      <c r="AR49" s="38"/>
      <c r="AS49" s="38">
        <v>48</v>
      </c>
      <c r="AT49" s="26"/>
      <c r="AU49" s="49"/>
      <c r="AV49" s="136" t="s">
        <v>172</v>
      </c>
      <c r="AW49" s="137"/>
    </row>
    <row r="50" spans="1:50" ht="19.399999999999999" customHeight="1">
      <c r="A50" s="18" t="s">
        <v>134</v>
      </c>
      <c r="B50" s="18" t="s">
        <v>848</v>
      </c>
      <c r="C50" s="19" t="s">
        <v>710</v>
      </c>
      <c r="D50" s="19" t="s">
        <v>171</v>
      </c>
      <c r="E50" s="19" t="s">
        <v>859</v>
      </c>
      <c r="F50" s="58">
        <v>8</v>
      </c>
      <c r="G50" s="43">
        <v>22</v>
      </c>
      <c r="H50" s="44">
        <v>36.700000000000003</v>
      </c>
      <c r="I50" s="44" t="s">
        <v>38</v>
      </c>
      <c r="J50" s="43">
        <v>120</v>
      </c>
      <c r="K50" s="44">
        <v>16.399999999999999</v>
      </c>
      <c r="L50" s="44" t="s">
        <v>122</v>
      </c>
      <c r="M50" s="43" t="s">
        <v>115</v>
      </c>
      <c r="N50" s="45">
        <v>0</v>
      </c>
      <c r="O50" s="45">
        <v>3</v>
      </c>
      <c r="P50" s="45">
        <v>1</v>
      </c>
      <c r="Q50" s="45">
        <v>1</v>
      </c>
      <c r="R50" s="46">
        <v>0</v>
      </c>
      <c r="S50" s="46">
        <v>0</v>
      </c>
      <c r="T50" s="46">
        <v>0</v>
      </c>
      <c r="U50" s="47">
        <v>2767</v>
      </c>
      <c r="V50" s="23">
        <v>24</v>
      </c>
      <c r="W50" s="38">
        <v>0</v>
      </c>
      <c r="X50" s="38">
        <v>0</v>
      </c>
      <c r="Y50" s="38">
        <v>0</v>
      </c>
      <c r="Z50" s="38">
        <v>0</v>
      </c>
      <c r="AA50" s="44">
        <v>0</v>
      </c>
      <c r="AB50" s="44">
        <f t="shared" ref="AB50" si="25">AA50/24</f>
        <v>0</v>
      </c>
      <c r="AC50" s="52"/>
      <c r="AD50" s="40"/>
      <c r="AE50" s="40"/>
      <c r="AF50" s="40"/>
      <c r="AG50" s="40"/>
      <c r="AH50" s="38"/>
      <c r="AI50" s="38"/>
      <c r="AJ50" s="38"/>
      <c r="AK50" s="38"/>
      <c r="AL50" s="24">
        <f t="shared" si="11"/>
        <v>0</v>
      </c>
      <c r="AM50" s="12"/>
      <c r="AN50" s="12"/>
      <c r="AO50" s="12"/>
      <c r="AP50" s="12"/>
      <c r="AQ50" s="55">
        <f t="shared" ref="AQ50" si="26">AQ49-AL50</f>
        <v>159.6</v>
      </c>
      <c r="AR50" s="38"/>
      <c r="AS50" s="38">
        <v>45</v>
      </c>
      <c r="AT50" s="26"/>
      <c r="AU50" s="49"/>
      <c r="AV50" s="136" t="s">
        <v>172</v>
      </c>
      <c r="AW50" s="137"/>
    </row>
    <row r="51" spans="1:50" ht="19.399999999999999" customHeight="1">
      <c r="A51" s="18" t="s">
        <v>134</v>
      </c>
      <c r="B51" s="18" t="s">
        <v>848</v>
      </c>
      <c r="C51" s="19" t="s">
        <v>710</v>
      </c>
      <c r="D51" s="19" t="s">
        <v>171</v>
      </c>
      <c r="E51" s="19" t="s">
        <v>860</v>
      </c>
      <c r="F51" s="58">
        <v>8</v>
      </c>
      <c r="G51" s="43">
        <v>22</v>
      </c>
      <c r="H51" s="44">
        <v>36.700000000000003</v>
      </c>
      <c r="I51" s="44" t="s">
        <v>38</v>
      </c>
      <c r="J51" s="43">
        <v>120</v>
      </c>
      <c r="K51" s="44">
        <v>16.399999999999999</v>
      </c>
      <c r="L51" s="44" t="s">
        <v>122</v>
      </c>
      <c r="M51" s="43" t="s">
        <v>115</v>
      </c>
      <c r="N51" s="45">
        <v>0</v>
      </c>
      <c r="O51" s="45">
        <v>3</v>
      </c>
      <c r="P51" s="45">
        <v>1</v>
      </c>
      <c r="Q51" s="45">
        <v>1</v>
      </c>
      <c r="R51" s="46">
        <v>0</v>
      </c>
      <c r="S51" s="46">
        <v>0</v>
      </c>
      <c r="T51" s="46">
        <v>0</v>
      </c>
      <c r="U51" s="47">
        <v>2767</v>
      </c>
      <c r="V51" s="23">
        <v>24</v>
      </c>
      <c r="W51" s="38">
        <v>0</v>
      </c>
      <c r="X51" s="38">
        <v>0</v>
      </c>
      <c r="Y51" s="38">
        <v>0</v>
      </c>
      <c r="Z51" s="38">
        <v>0</v>
      </c>
      <c r="AA51" s="44">
        <v>0</v>
      </c>
      <c r="AB51" s="44">
        <f t="shared" ref="AB51" si="27">AA51/24</f>
        <v>0</v>
      </c>
      <c r="AC51" s="52"/>
      <c r="AD51" s="40"/>
      <c r="AE51" s="40"/>
      <c r="AF51" s="40"/>
      <c r="AG51" s="40"/>
      <c r="AH51" s="38"/>
      <c r="AI51" s="38"/>
      <c r="AJ51" s="38"/>
      <c r="AK51" s="38"/>
      <c r="AL51" s="24">
        <f t="shared" si="11"/>
        <v>0</v>
      </c>
      <c r="AM51" s="12"/>
      <c r="AN51" s="12"/>
      <c r="AO51" s="12"/>
      <c r="AP51" s="12"/>
      <c r="AQ51" s="55">
        <f t="shared" ref="AQ51" si="28">AQ50-AL51</f>
        <v>159.6</v>
      </c>
      <c r="AR51" s="38"/>
      <c r="AS51" s="38">
        <v>115</v>
      </c>
      <c r="AT51" s="26"/>
      <c r="AU51" s="49"/>
      <c r="AV51" s="136" t="s">
        <v>861</v>
      </c>
      <c r="AW51" s="137"/>
    </row>
    <row r="52" spans="1:50" ht="19.399999999999999" customHeight="1">
      <c r="A52" s="18" t="s">
        <v>134</v>
      </c>
      <c r="B52" s="18" t="s">
        <v>848</v>
      </c>
      <c r="C52" s="19" t="s">
        <v>710</v>
      </c>
      <c r="D52" s="19" t="s">
        <v>171</v>
      </c>
      <c r="E52" s="19" t="s">
        <v>862</v>
      </c>
      <c r="F52" s="58">
        <v>8</v>
      </c>
      <c r="G52" s="43">
        <v>22</v>
      </c>
      <c r="H52" s="44">
        <v>36.700000000000003</v>
      </c>
      <c r="I52" s="44" t="s">
        <v>38</v>
      </c>
      <c r="J52" s="43">
        <v>120</v>
      </c>
      <c r="K52" s="44">
        <v>16.399999999999999</v>
      </c>
      <c r="L52" s="44" t="s">
        <v>122</v>
      </c>
      <c r="M52" s="43" t="s">
        <v>115</v>
      </c>
      <c r="N52" s="45">
        <v>0</v>
      </c>
      <c r="O52" s="45">
        <v>3</v>
      </c>
      <c r="P52" s="45">
        <v>1</v>
      </c>
      <c r="Q52" s="45">
        <v>1</v>
      </c>
      <c r="R52" s="46">
        <v>0</v>
      </c>
      <c r="S52" s="46">
        <v>0</v>
      </c>
      <c r="T52" s="46">
        <v>0</v>
      </c>
      <c r="U52" s="47">
        <v>2767</v>
      </c>
      <c r="V52" s="23">
        <v>24</v>
      </c>
      <c r="W52" s="38">
        <v>0</v>
      </c>
      <c r="X52" s="38">
        <v>0</v>
      </c>
      <c r="Y52" s="38">
        <v>0</v>
      </c>
      <c r="Z52" s="38">
        <v>0</v>
      </c>
      <c r="AA52" s="44">
        <v>0</v>
      </c>
      <c r="AB52" s="44">
        <f t="shared" ref="AB52" si="29">AA52/24</f>
        <v>0</v>
      </c>
      <c r="AC52" s="52"/>
      <c r="AD52" s="40"/>
      <c r="AE52" s="40"/>
      <c r="AF52" s="40"/>
      <c r="AG52" s="40"/>
      <c r="AH52" s="38"/>
      <c r="AI52" s="38"/>
      <c r="AJ52" s="38"/>
      <c r="AK52" s="38"/>
      <c r="AL52" s="24">
        <f t="shared" si="11"/>
        <v>0</v>
      </c>
      <c r="AM52" s="12"/>
      <c r="AN52" s="12"/>
      <c r="AO52" s="12"/>
      <c r="AP52" s="12"/>
      <c r="AQ52" s="55">
        <f t="shared" ref="AQ52" si="30">AQ51-AL52</f>
        <v>159.6</v>
      </c>
      <c r="AR52" s="38"/>
      <c r="AS52" s="38">
        <v>110</v>
      </c>
      <c r="AT52" s="26"/>
      <c r="AU52" s="49"/>
      <c r="AV52" s="136" t="s">
        <v>172</v>
      </c>
      <c r="AW52" s="137"/>
    </row>
    <row r="53" spans="1:50" ht="19.399999999999999" customHeight="1">
      <c r="A53" s="18" t="s">
        <v>134</v>
      </c>
      <c r="B53" s="18" t="s">
        <v>848</v>
      </c>
      <c r="C53" s="19" t="s">
        <v>710</v>
      </c>
      <c r="D53" s="19" t="s">
        <v>171</v>
      </c>
      <c r="E53" s="19" t="s">
        <v>863</v>
      </c>
      <c r="F53" s="58">
        <v>8</v>
      </c>
      <c r="G53" s="43">
        <v>22</v>
      </c>
      <c r="H53" s="44">
        <v>36.700000000000003</v>
      </c>
      <c r="I53" s="44" t="s">
        <v>38</v>
      </c>
      <c r="J53" s="43">
        <v>120</v>
      </c>
      <c r="K53" s="44">
        <v>16.399999999999999</v>
      </c>
      <c r="L53" s="44" t="s">
        <v>122</v>
      </c>
      <c r="M53" s="43" t="s">
        <v>115</v>
      </c>
      <c r="N53" s="45">
        <v>0</v>
      </c>
      <c r="O53" s="45">
        <v>3</v>
      </c>
      <c r="P53" s="45">
        <v>1</v>
      </c>
      <c r="Q53" s="45">
        <v>1</v>
      </c>
      <c r="R53" s="46">
        <v>0</v>
      </c>
      <c r="S53" s="46">
        <v>0</v>
      </c>
      <c r="T53" s="46">
        <v>0</v>
      </c>
      <c r="U53" s="47">
        <v>2767</v>
      </c>
      <c r="V53" s="23">
        <v>24</v>
      </c>
      <c r="W53" s="38">
        <v>0</v>
      </c>
      <c r="X53" s="38">
        <v>0</v>
      </c>
      <c r="Y53" s="38">
        <v>0</v>
      </c>
      <c r="Z53" s="38">
        <v>0</v>
      </c>
      <c r="AA53" s="44">
        <v>0</v>
      </c>
      <c r="AB53" s="44">
        <f t="shared" ref="AB53" si="31">AA53/24</f>
        <v>0</v>
      </c>
      <c r="AC53" s="52"/>
      <c r="AD53" s="40"/>
      <c r="AE53" s="40"/>
      <c r="AF53" s="40"/>
      <c r="AG53" s="40"/>
      <c r="AH53" s="38"/>
      <c r="AI53" s="38"/>
      <c r="AJ53" s="38"/>
      <c r="AK53" s="38"/>
      <c r="AL53" s="24">
        <f t="shared" si="11"/>
        <v>0</v>
      </c>
      <c r="AM53" s="12"/>
      <c r="AN53" s="12"/>
      <c r="AO53" s="12"/>
      <c r="AP53" s="12"/>
      <c r="AQ53" s="55">
        <f t="shared" ref="AQ53" si="32">AQ52-AL53</f>
        <v>159.6</v>
      </c>
      <c r="AR53" s="38"/>
      <c r="AS53" s="38">
        <v>105</v>
      </c>
      <c r="AT53" s="26"/>
      <c r="AU53" s="49"/>
      <c r="AV53" s="136" t="s">
        <v>172</v>
      </c>
      <c r="AW53" s="137"/>
    </row>
    <row r="54" spans="1:50" ht="19.399999999999999" customHeight="1">
      <c r="A54" s="18" t="s">
        <v>134</v>
      </c>
      <c r="B54" s="18" t="s">
        <v>864</v>
      </c>
      <c r="C54" s="19" t="s">
        <v>171</v>
      </c>
      <c r="D54" s="19" t="s">
        <v>710</v>
      </c>
      <c r="E54" s="19" t="s">
        <v>865</v>
      </c>
      <c r="F54" s="58">
        <v>8</v>
      </c>
      <c r="G54" s="43">
        <v>22</v>
      </c>
      <c r="H54" s="44">
        <v>39.9</v>
      </c>
      <c r="I54" s="44" t="s">
        <v>38</v>
      </c>
      <c r="J54" s="43">
        <v>120</v>
      </c>
      <c r="K54" s="44">
        <v>10.1</v>
      </c>
      <c r="L54" s="44" t="s">
        <v>122</v>
      </c>
      <c r="M54" s="43" t="s">
        <v>115</v>
      </c>
      <c r="N54" s="45">
        <v>0</v>
      </c>
      <c r="O54" s="45">
        <v>3</v>
      </c>
      <c r="P54" s="45">
        <v>1</v>
      </c>
      <c r="Q54" s="45">
        <v>1</v>
      </c>
      <c r="R54" s="46">
        <v>3.95</v>
      </c>
      <c r="S54" s="46">
        <v>4</v>
      </c>
      <c r="T54" s="46">
        <v>292</v>
      </c>
      <c r="U54" s="47">
        <v>2909</v>
      </c>
      <c r="V54" s="23">
        <v>24</v>
      </c>
      <c r="W54" s="38">
        <v>1.6</v>
      </c>
      <c r="X54" s="38">
        <v>0.3</v>
      </c>
      <c r="Y54" s="38">
        <v>22.1</v>
      </c>
      <c r="Z54" s="38">
        <v>0</v>
      </c>
      <c r="AA54" s="44">
        <v>6.7</v>
      </c>
      <c r="AB54" s="44">
        <f t="shared" ref="AB54" si="33">AA54/24</f>
        <v>0.27916666666666667</v>
      </c>
      <c r="AC54" s="52" t="s">
        <v>126</v>
      </c>
      <c r="AD54" s="40" t="s">
        <v>866</v>
      </c>
      <c r="AE54" s="40"/>
      <c r="AF54" s="41" t="s">
        <v>867</v>
      </c>
      <c r="AG54" s="40" t="s">
        <v>145</v>
      </c>
      <c r="AH54" s="38">
        <v>0.2</v>
      </c>
      <c r="AI54" s="38">
        <v>0.2</v>
      </c>
      <c r="AJ54" s="38">
        <v>2.6</v>
      </c>
      <c r="AK54" s="38">
        <v>0</v>
      </c>
      <c r="AL54" s="24">
        <f t="shared" ref="AL54:AL61" si="34">SUM(AH54:AK54)</f>
        <v>3</v>
      </c>
      <c r="AM54" s="12"/>
      <c r="AN54" s="12"/>
      <c r="AO54" s="12"/>
      <c r="AP54" s="12"/>
      <c r="AQ54" s="55">
        <v>406.6</v>
      </c>
      <c r="AR54" s="38"/>
      <c r="AS54" s="38">
        <v>89</v>
      </c>
      <c r="AT54" s="26"/>
      <c r="AU54" s="49"/>
      <c r="AV54" s="136" t="s">
        <v>868</v>
      </c>
      <c r="AW54" s="137"/>
      <c r="AX54" s="1">
        <v>250</v>
      </c>
    </row>
    <row r="55" spans="1:50" ht="19.399999999999999" customHeight="1">
      <c r="A55" s="18" t="s">
        <v>134</v>
      </c>
      <c r="B55" s="18" t="s">
        <v>864</v>
      </c>
      <c r="C55" s="19" t="s">
        <v>171</v>
      </c>
      <c r="D55" s="19" t="s">
        <v>710</v>
      </c>
      <c r="E55" s="19" t="s">
        <v>870</v>
      </c>
      <c r="F55" s="58">
        <v>8</v>
      </c>
      <c r="G55" s="43">
        <v>22</v>
      </c>
      <c r="H55" s="44">
        <v>57.9</v>
      </c>
      <c r="I55" s="44" t="s">
        <v>38</v>
      </c>
      <c r="J55" s="43">
        <v>120</v>
      </c>
      <c r="K55" s="44">
        <v>10.199999999999999</v>
      </c>
      <c r="L55" s="44" t="s">
        <v>122</v>
      </c>
      <c r="M55" s="43" t="s">
        <v>115</v>
      </c>
      <c r="N55" s="45">
        <v>14</v>
      </c>
      <c r="O55" s="45">
        <v>3</v>
      </c>
      <c r="P55" s="45">
        <v>1</v>
      </c>
      <c r="Q55" s="45">
        <v>1</v>
      </c>
      <c r="R55" s="46">
        <v>3.95</v>
      </c>
      <c r="S55" s="46">
        <v>4</v>
      </c>
      <c r="T55" s="46">
        <v>292</v>
      </c>
      <c r="U55" s="47">
        <v>2909</v>
      </c>
      <c r="V55" s="23">
        <v>24</v>
      </c>
      <c r="W55" s="38">
        <v>4.5999999999999996</v>
      </c>
      <c r="X55" s="38">
        <v>0.9</v>
      </c>
      <c r="Y55" s="38">
        <v>18.5</v>
      </c>
      <c r="Z55" s="38">
        <v>0</v>
      </c>
      <c r="AA55" s="44">
        <v>22.2</v>
      </c>
      <c r="AB55" s="44">
        <f t="shared" ref="AB55" si="35">AA55/24</f>
        <v>0.92499999999999993</v>
      </c>
      <c r="AC55" s="52" t="s">
        <v>119</v>
      </c>
      <c r="AD55" s="40">
        <v>169</v>
      </c>
      <c r="AE55" s="40"/>
      <c r="AF55" s="41">
        <v>0</v>
      </c>
      <c r="AG55" s="40">
        <v>0</v>
      </c>
      <c r="AH55" s="38">
        <v>0.7</v>
      </c>
      <c r="AI55" s="38">
        <v>0.2</v>
      </c>
      <c r="AJ55" s="38">
        <v>1</v>
      </c>
      <c r="AK55" s="38">
        <v>0</v>
      </c>
      <c r="AL55" s="24">
        <f t="shared" si="34"/>
        <v>1.9</v>
      </c>
      <c r="AM55" s="12"/>
      <c r="AN55" s="12"/>
      <c r="AO55" s="12"/>
      <c r="AP55" s="12"/>
      <c r="AQ55" s="55">
        <f t="shared" ref="AQ55:AQ61" si="36">AQ54-AL55</f>
        <v>404.70000000000005</v>
      </c>
      <c r="AR55" s="38"/>
      <c r="AS55" s="38">
        <v>85</v>
      </c>
      <c r="AT55" s="26"/>
      <c r="AU55" s="49"/>
      <c r="AV55" s="136" t="s">
        <v>869</v>
      </c>
      <c r="AW55" s="137"/>
    </row>
    <row r="56" spans="1:50" ht="19.399999999999999" customHeight="1">
      <c r="A56" s="18" t="s">
        <v>134</v>
      </c>
      <c r="B56" s="18" t="s">
        <v>864</v>
      </c>
      <c r="C56" s="19" t="s">
        <v>171</v>
      </c>
      <c r="D56" s="19" t="s">
        <v>710</v>
      </c>
      <c r="E56" s="19" t="s">
        <v>873</v>
      </c>
      <c r="F56" s="58">
        <v>8</v>
      </c>
      <c r="G56" s="43">
        <v>22</v>
      </c>
      <c r="H56" s="44">
        <v>57.9</v>
      </c>
      <c r="I56" s="44" t="s">
        <v>38</v>
      </c>
      <c r="J56" s="43">
        <v>120</v>
      </c>
      <c r="K56" s="44">
        <v>10.199999999999999</v>
      </c>
      <c r="L56" s="44" t="s">
        <v>122</v>
      </c>
      <c r="M56" s="43" t="s">
        <v>115</v>
      </c>
      <c r="N56" s="45">
        <v>14</v>
      </c>
      <c r="O56" s="45">
        <v>3</v>
      </c>
      <c r="P56" s="45">
        <v>1</v>
      </c>
      <c r="Q56" s="45">
        <v>1</v>
      </c>
      <c r="R56" s="46">
        <v>3.95</v>
      </c>
      <c r="S56" s="46">
        <v>4</v>
      </c>
      <c r="T56" s="46">
        <v>292</v>
      </c>
      <c r="U56" s="47">
        <v>2909</v>
      </c>
      <c r="V56" s="23">
        <v>24</v>
      </c>
      <c r="W56" s="38">
        <v>0</v>
      </c>
      <c r="X56" s="38">
        <v>0</v>
      </c>
      <c r="Y56" s="38">
        <v>24</v>
      </c>
      <c r="Z56" s="38">
        <v>0</v>
      </c>
      <c r="AA56" s="44">
        <v>0</v>
      </c>
      <c r="AB56" s="44">
        <f t="shared" ref="AB56" si="37">AA56/24</f>
        <v>0</v>
      </c>
      <c r="AC56" s="52" t="s">
        <v>119</v>
      </c>
      <c r="AD56" s="40">
        <v>168</v>
      </c>
      <c r="AE56" s="40"/>
      <c r="AF56" s="41">
        <v>0</v>
      </c>
      <c r="AG56" s="40">
        <v>0</v>
      </c>
      <c r="AH56" s="38">
        <v>0</v>
      </c>
      <c r="AI56" s="38">
        <v>0</v>
      </c>
      <c r="AJ56" s="38">
        <v>1</v>
      </c>
      <c r="AK56" s="38">
        <v>0</v>
      </c>
      <c r="AL56" s="24">
        <f t="shared" si="34"/>
        <v>1</v>
      </c>
      <c r="AM56" s="12"/>
      <c r="AN56" s="12"/>
      <c r="AO56" s="12"/>
      <c r="AP56" s="12"/>
      <c r="AQ56" s="55">
        <f t="shared" si="36"/>
        <v>403.70000000000005</v>
      </c>
      <c r="AR56" s="38"/>
      <c r="AS56" s="38">
        <v>210</v>
      </c>
      <c r="AT56" s="26"/>
      <c r="AU56" s="49"/>
      <c r="AV56" s="136" t="s">
        <v>871</v>
      </c>
      <c r="AW56" s="137"/>
    </row>
    <row r="57" spans="1:50" ht="19.399999999999999" customHeight="1">
      <c r="A57" s="18" t="s">
        <v>134</v>
      </c>
      <c r="B57" s="18" t="s">
        <v>864</v>
      </c>
      <c r="C57" s="19" t="s">
        <v>171</v>
      </c>
      <c r="D57" s="19" t="s">
        <v>710</v>
      </c>
      <c r="E57" s="19" t="s">
        <v>872</v>
      </c>
      <c r="F57" s="58">
        <v>8</v>
      </c>
      <c r="G57" s="43">
        <v>22</v>
      </c>
      <c r="H57" s="44">
        <v>57.9</v>
      </c>
      <c r="I57" s="44" t="s">
        <v>38</v>
      </c>
      <c r="J57" s="43">
        <v>120</v>
      </c>
      <c r="K57" s="44">
        <v>10.199999999999999</v>
      </c>
      <c r="L57" s="44" t="s">
        <v>122</v>
      </c>
      <c r="M57" s="43" t="s">
        <v>115</v>
      </c>
      <c r="N57" s="45">
        <v>14</v>
      </c>
      <c r="O57" s="45">
        <v>3</v>
      </c>
      <c r="P57" s="45">
        <v>1</v>
      </c>
      <c r="Q57" s="45">
        <v>1</v>
      </c>
      <c r="R57" s="46">
        <v>3.95</v>
      </c>
      <c r="S57" s="46">
        <v>4</v>
      </c>
      <c r="T57" s="46">
        <v>292</v>
      </c>
      <c r="U57" s="47">
        <v>2909</v>
      </c>
      <c r="V57" s="23">
        <v>24</v>
      </c>
      <c r="W57" s="38">
        <v>0</v>
      </c>
      <c r="X57" s="38">
        <v>0</v>
      </c>
      <c r="Y57" s="38">
        <v>24</v>
      </c>
      <c r="Z57" s="38">
        <v>0</v>
      </c>
      <c r="AA57" s="44">
        <v>0</v>
      </c>
      <c r="AB57" s="44">
        <f t="shared" ref="AB57" si="38">AA57/24</f>
        <v>0</v>
      </c>
      <c r="AC57" s="52" t="s">
        <v>119</v>
      </c>
      <c r="AD57" s="40">
        <v>200</v>
      </c>
      <c r="AE57" s="40"/>
      <c r="AF57" s="41">
        <v>0</v>
      </c>
      <c r="AG57" s="40">
        <v>0</v>
      </c>
      <c r="AH57" s="38">
        <v>0</v>
      </c>
      <c r="AI57" s="38">
        <v>0</v>
      </c>
      <c r="AJ57" s="38">
        <v>1.3</v>
      </c>
      <c r="AK57" s="38">
        <v>0</v>
      </c>
      <c r="AL57" s="24">
        <f t="shared" si="34"/>
        <v>1.3</v>
      </c>
      <c r="AM57" s="12"/>
      <c r="AN57" s="12"/>
      <c r="AO57" s="12"/>
      <c r="AP57" s="12"/>
      <c r="AQ57" s="55">
        <f t="shared" si="36"/>
        <v>402.40000000000003</v>
      </c>
      <c r="AR57" s="38"/>
      <c r="AS57" s="38">
        <v>206</v>
      </c>
      <c r="AT57" s="26"/>
      <c r="AU57" s="49"/>
      <c r="AV57" s="136"/>
      <c r="AW57" s="137"/>
    </row>
    <row r="58" spans="1:50" ht="19.399999999999999" customHeight="1">
      <c r="A58" s="18" t="s">
        <v>134</v>
      </c>
      <c r="B58" s="18" t="s">
        <v>864</v>
      </c>
      <c r="C58" s="19" t="s">
        <v>171</v>
      </c>
      <c r="D58" s="19" t="s">
        <v>710</v>
      </c>
      <c r="E58" s="19" t="s">
        <v>874</v>
      </c>
      <c r="F58" s="58">
        <v>8</v>
      </c>
      <c r="G58" s="43">
        <v>22</v>
      </c>
      <c r="H58" s="44">
        <v>57.9</v>
      </c>
      <c r="I58" s="44" t="s">
        <v>38</v>
      </c>
      <c r="J58" s="43">
        <v>120</v>
      </c>
      <c r="K58" s="44">
        <v>10.199999999999999</v>
      </c>
      <c r="L58" s="44" t="s">
        <v>122</v>
      </c>
      <c r="M58" s="43" t="s">
        <v>115</v>
      </c>
      <c r="N58" s="45">
        <v>14</v>
      </c>
      <c r="O58" s="45">
        <v>3</v>
      </c>
      <c r="P58" s="45">
        <v>1</v>
      </c>
      <c r="Q58" s="45">
        <v>1</v>
      </c>
      <c r="R58" s="46">
        <v>3.95</v>
      </c>
      <c r="S58" s="46">
        <v>4</v>
      </c>
      <c r="T58" s="46">
        <v>292</v>
      </c>
      <c r="U58" s="47">
        <v>2909</v>
      </c>
      <c r="V58" s="23">
        <v>24</v>
      </c>
      <c r="W58" s="38">
        <v>0</v>
      </c>
      <c r="X58" s="38">
        <v>0</v>
      </c>
      <c r="Y58" s="38">
        <v>24</v>
      </c>
      <c r="Z58" s="38">
        <v>0</v>
      </c>
      <c r="AA58" s="44">
        <v>0</v>
      </c>
      <c r="AB58" s="44">
        <f t="shared" ref="AB58" si="39">AA58/24</f>
        <v>0</v>
      </c>
      <c r="AC58" s="52" t="s">
        <v>119</v>
      </c>
      <c r="AD58" s="40">
        <v>202</v>
      </c>
      <c r="AE58" s="40"/>
      <c r="AF58" s="41">
        <v>0</v>
      </c>
      <c r="AG58" s="40">
        <v>0</v>
      </c>
      <c r="AH58" s="38">
        <v>0</v>
      </c>
      <c r="AI58" s="38">
        <v>0</v>
      </c>
      <c r="AJ58" s="38">
        <v>1.3</v>
      </c>
      <c r="AK58" s="38">
        <v>0</v>
      </c>
      <c r="AL58" s="24">
        <f t="shared" si="34"/>
        <v>1.3</v>
      </c>
      <c r="AM58" s="12"/>
      <c r="AN58" s="12"/>
      <c r="AO58" s="12"/>
      <c r="AP58" s="12"/>
      <c r="AQ58" s="55">
        <f t="shared" si="36"/>
        <v>401.1</v>
      </c>
      <c r="AR58" s="38"/>
      <c r="AS58" s="38">
        <v>204</v>
      </c>
      <c r="AT58" s="26"/>
      <c r="AU58" s="49"/>
      <c r="AV58" s="136"/>
      <c r="AW58" s="137"/>
    </row>
    <row r="59" spans="1:50" ht="19.399999999999999" customHeight="1">
      <c r="A59" s="18" t="s">
        <v>134</v>
      </c>
      <c r="B59" s="18" t="s">
        <v>864</v>
      </c>
      <c r="C59" s="19" t="s">
        <v>171</v>
      </c>
      <c r="D59" s="19" t="s">
        <v>710</v>
      </c>
      <c r="E59" s="19" t="s">
        <v>875</v>
      </c>
      <c r="F59" s="58">
        <v>8</v>
      </c>
      <c r="G59" s="43">
        <v>22</v>
      </c>
      <c r="H59" s="44">
        <v>57.9</v>
      </c>
      <c r="I59" s="44" t="s">
        <v>38</v>
      </c>
      <c r="J59" s="43">
        <v>120</v>
      </c>
      <c r="K59" s="44">
        <v>10.199999999999999</v>
      </c>
      <c r="L59" s="44" t="s">
        <v>122</v>
      </c>
      <c r="M59" s="43" t="s">
        <v>115</v>
      </c>
      <c r="N59" s="45">
        <v>14</v>
      </c>
      <c r="O59" s="45">
        <v>3</v>
      </c>
      <c r="P59" s="45">
        <v>1</v>
      </c>
      <c r="Q59" s="45">
        <v>1</v>
      </c>
      <c r="R59" s="46">
        <v>3.95</v>
      </c>
      <c r="S59" s="46">
        <v>4</v>
      </c>
      <c r="T59" s="46">
        <v>292</v>
      </c>
      <c r="U59" s="47">
        <v>2909</v>
      </c>
      <c r="V59" s="23">
        <v>24</v>
      </c>
      <c r="W59" s="38">
        <v>0</v>
      </c>
      <c r="X59" s="38">
        <v>0</v>
      </c>
      <c r="Y59" s="38">
        <v>24</v>
      </c>
      <c r="Z59" s="38">
        <v>0</v>
      </c>
      <c r="AA59" s="44">
        <v>0</v>
      </c>
      <c r="AB59" s="44">
        <f t="shared" ref="AB59:AB61" si="40">AA59/24</f>
        <v>0</v>
      </c>
      <c r="AC59" s="52" t="s">
        <v>119</v>
      </c>
      <c r="AD59" s="40">
        <v>163</v>
      </c>
      <c r="AE59" s="40"/>
      <c r="AF59" s="41">
        <v>0</v>
      </c>
      <c r="AG59" s="40">
        <v>0</v>
      </c>
      <c r="AH59" s="38">
        <v>0</v>
      </c>
      <c r="AI59" s="38">
        <v>0</v>
      </c>
      <c r="AJ59" s="38">
        <v>1.3</v>
      </c>
      <c r="AK59" s="38">
        <v>0</v>
      </c>
      <c r="AL59" s="24">
        <f t="shared" si="34"/>
        <v>1.3</v>
      </c>
      <c r="AM59" s="12"/>
      <c r="AN59" s="12"/>
      <c r="AO59" s="12"/>
      <c r="AP59" s="12"/>
      <c r="AQ59" s="55">
        <f t="shared" si="36"/>
        <v>399.8</v>
      </c>
      <c r="AR59" s="38"/>
      <c r="AS59" s="38">
        <v>202</v>
      </c>
      <c r="AT59" s="26"/>
      <c r="AU59" s="49"/>
      <c r="AV59" s="136"/>
      <c r="AW59" s="137"/>
    </row>
    <row r="60" spans="1:50" ht="19.399999999999999" customHeight="1">
      <c r="A60" s="18" t="s">
        <v>134</v>
      </c>
      <c r="B60" s="18" t="s">
        <v>864</v>
      </c>
      <c r="C60" s="19" t="s">
        <v>171</v>
      </c>
      <c r="D60" s="19" t="s">
        <v>710</v>
      </c>
      <c r="E60" s="19" t="s">
        <v>876</v>
      </c>
      <c r="F60" s="58">
        <v>8</v>
      </c>
      <c r="G60" s="43">
        <v>22</v>
      </c>
      <c r="H60" s="44">
        <v>57.9</v>
      </c>
      <c r="I60" s="44" t="s">
        <v>38</v>
      </c>
      <c r="J60" s="43">
        <v>120</v>
      </c>
      <c r="K60" s="44">
        <v>10.199999999999999</v>
      </c>
      <c r="L60" s="44" t="s">
        <v>122</v>
      </c>
      <c r="M60" s="43" t="s">
        <v>115</v>
      </c>
      <c r="N60" s="45">
        <v>14</v>
      </c>
      <c r="O60" s="45">
        <v>3</v>
      </c>
      <c r="P60" s="45">
        <v>1</v>
      </c>
      <c r="Q60" s="45">
        <v>1</v>
      </c>
      <c r="R60" s="46">
        <v>3.95</v>
      </c>
      <c r="S60" s="46">
        <v>4</v>
      </c>
      <c r="T60" s="46">
        <v>292</v>
      </c>
      <c r="U60" s="47">
        <v>2909</v>
      </c>
      <c r="V60" s="23">
        <v>24</v>
      </c>
      <c r="W60" s="38">
        <v>0</v>
      </c>
      <c r="X60" s="38">
        <v>0</v>
      </c>
      <c r="Y60" s="38">
        <v>24</v>
      </c>
      <c r="Z60" s="38">
        <v>0</v>
      </c>
      <c r="AA60" s="44">
        <v>0</v>
      </c>
      <c r="AB60" s="44">
        <f t="shared" si="40"/>
        <v>0</v>
      </c>
      <c r="AC60" s="52" t="s">
        <v>119</v>
      </c>
      <c r="AD60" s="40">
        <v>201</v>
      </c>
      <c r="AE60" s="40"/>
      <c r="AF60" s="41">
        <v>0</v>
      </c>
      <c r="AG60" s="40">
        <v>0</v>
      </c>
      <c r="AH60" s="38">
        <v>0</v>
      </c>
      <c r="AI60" s="38">
        <v>0</v>
      </c>
      <c r="AJ60" s="38">
        <v>1.3</v>
      </c>
      <c r="AK60" s="38">
        <v>0</v>
      </c>
      <c r="AL60" s="24">
        <f t="shared" si="34"/>
        <v>1.3</v>
      </c>
      <c r="AM60" s="12"/>
      <c r="AN60" s="12"/>
      <c r="AO60" s="12"/>
      <c r="AP60" s="12"/>
      <c r="AQ60" s="55">
        <f t="shared" si="36"/>
        <v>398.5</v>
      </c>
      <c r="AR60" s="38"/>
      <c r="AS60" s="38">
        <v>200</v>
      </c>
      <c r="AT60" s="26"/>
      <c r="AU60" s="49"/>
      <c r="AV60" s="136"/>
      <c r="AW60" s="137"/>
    </row>
    <row r="61" spans="1:50" ht="19.399999999999999" customHeight="1">
      <c r="A61" s="18" t="s">
        <v>134</v>
      </c>
      <c r="B61" s="18" t="s">
        <v>864</v>
      </c>
      <c r="C61" s="19" t="s">
        <v>171</v>
      </c>
      <c r="D61" s="19" t="s">
        <v>710</v>
      </c>
      <c r="E61" s="19" t="s">
        <v>877</v>
      </c>
      <c r="F61" s="58">
        <v>8</v>
      </c>
      <c r="G61" s="43">
        <v>22</v>
      </c>
      <c r="H61" s="44">
        <v>57.9</v>
      </c>
      <c r="I61" s="44" t="s">
        <v>38</v>
      </c>
      <c r="J61" s="43">
        <v>120</v>
      </c>
      <c r="K61" s="44">
        <v>10.199999999999999</v>
      </c>
      <c r="L61" s="44" t="s">
        <v>122</v>
      </c>
      <c r="M61" s="43" t="s">
        <v>115</v>
      </c>
      <c r="N61" s="45">
        <v>14</v>
      </c>
      <c r="O61" s="45">
        <v>3</v>
      </c>
      <c r="P61" s="45">
        <v>1</v>
      </c>
      <c r="Q61" s="45">
        <v>1</v>
      </c>
      <c r="R61" s="46">
        <v>3.95</v>
      </c>
      <c r="S61" s="46">
        <v>4</v>
      </c>
      <c r="T61" s="46">
        <v>292</v>
      </c>
      <c r="U61" s="47">
        <v>2909</v>
      </c>
      <c r="V61" s="23">
        <v>24</v>
      </c>
      <c r="W61" s="38">
        <v>0</v>
      </c>
      <c r="X61" s="38">
        <v>0</v>
      </c>
      <c r="Y61" s="38">
        <v>24</v>
      </c>
      <c r="Z61" s="38">
        <v>0</v>
      </c>
      <c r="AA61" s="44">
        <v>0</v>
      </c>
      <c r="AB61" s="44">
        <f t="shared" si="40"/>
        <v>0</v>
      </c>
      <c r="AC61" s="52" t="s">
        <v>119</v>
      </c>
      <c r="AD61" s="40">
        <v>167</v>
      </c>
      <c r="AE61" s="40"/>
      <c r="AF61" s="41">
        <v>0</v>
      </c>
      <c r="AG61" s="40">
        <v>0</v>
      </c>
      <c r="AH61" s="38">
        <v>0</v>
      </c>
      <c r="AI61" s="38">
        <v>0</v>
      </c>
      <c r="AJ61" s="38">
        <v>1.3</v>
      </c>
      <c r="AK61" s="38">
        <v>0</v>
      </c>
      <c r="AL61" s="24">
        <f t="shared" si="34"/>
        <v>1.3</v>
      </c>
      <c r="AM61" s="12"/>
      <c r="AN61" s="12"/>
      <c r="AO61" s="12"/>
      <c r="AP61" s="12"/>
      <c r="AQ61" s="55">
        <f t="shared" si="36"/>
        <v>397.2</v>
      </c>
      <c r="AR61" s="38"/>
      <c r="AS61" s="38">
        <v>196</v>
      </c>
      <c r="AT61" s="26"/>
      <c r="AU61" s="49"/>
      <c r="AV61" s="136"/>
      <c r="AW61" s="137"/>
    </row>
    <row r="62" spans="1:50" ht="19.399999999999999" customHeight="1">
      <c r="A62" s="18" t="s">
        <v>134</v>
      </c>
      <c r="B62" s="18" t="s">
        <v>864</v>
      </c>
      <c r="C62" s="19" t="s">
        <v>171</v>
      </c>
      <c r="D62" s="19" t="s">
        <v>710</v>
      </c>
      <c r="E62" s="19" t="s">
        <v>878</v>
      </c>
      <c r="F62" s="58">
        <v>8</v>
      </c>
      <c r="G62" s="43">
        <v>22</v>
      </c>
      <c r="H62" s="44">
        <v>57.9</v>
      </c>
      <c r="I62" s="44" t="s">
        <v>38</v>
      </c>
      <c r="J62" s="43">
        <v>120</v>
      </c>
      <c r="K62" s="44">
        <v>10.199999999999999</v>
      </c>
      <c r="L62" s="44" t="s">
        <v>122</v>
      </c>
      <c r="M62" s="43" t="s">
        <v>115</v>
      </c>
      <c r="N62" s="45">
        <v>14</v>
      </c>
      <c r="O62" s="45">
        <v>3</v>
      </c>
      <c r="P62" s="45">
        <v>1</v>
      </c>
      <c r="Q62" s="45">
        <v>1</v>
      </c>
      <c r="R62" s="46">
        <v>3.95</v>
      </c>
      <c r="S62" s="46">
        <v>4</v>
      </c>
      <c r="T62" s="46">
        <v>292</v>
      </c>
      <c r="U62" s="47">
        <v>2909</v>
      </c>
      <c r="V62" s="23">
        <v>24</v>
      </c>
      <c r="W62" s="38">
        <v>0</v>
      </c>
      <c r="X62" s="38">
        <v>0</v>
      </c>
      <c r="Y62" s="38">
        <v>24</v>
      </c>
      <c r="Z62" s="38">
        <v>0</v>
      </c>
      <c r="AA62" s="44">
        <v>0</v>
      </c>
      <c r="AB62" s="44">
        <f t="shared" ref="AB62" si="41">AA62/24</f>
        <v>0</v>
      </c>
      <c r="AC62" s="52" t="s">
        <v>119</v>
      </c>
      <c r="AD62" s="40">
        <v>169</v>
      </c>
      <c r="AE62" s="40"/>
      <c r="AF62" s="41">
        <v>0</v>
      </c>
      <c r="AG62" s="40">
        <v>0</v>
      </c>
      <c r="AH62" s="38">
        <v>0</v>
      </c>
      <c r="AI62" s="38">
        <v>0</v>
      </c>
      <c r="AJ62" s="38">
        <v>1.3</v>
      </c>
      <c r="AK62" s="38">
        <v>0</v>
      </c>
      <c r="AL62" s="24">
        <f t="shared" ref="AL62:AL100" si="42">SUM(AH62:AK62)</f>
        <v>1.3</v>
      </c>
      <c r="AM62" s="12"/>
      <c r="AN62" s="12"/>
      <c r="AO62" s="12"/>
      <c r="AP62" s="12"/>
      <c r="AQ62" s="55">
        <f t="shared" ref="AQ62:AQ100" si="43">AQ61-AL62</f>
        <v>395.9</v>
      </c>
      <c r="AR62" s="38"/>
      <c r="AS62" s="38">
        <v>192</v>
      </c>
      <c r="AT62" s="26"/>
      <c r="AU62" s="49"/>
      <c r="AV62" s="136"/>
      <c r="AW62" s="137"/>
    </row>
    <row r="63" spans="1:50" ht="19.399999999999999" customHeight="1">
      <c r="A63" s="18" t="s">
        <v>134</v>
      </c>
      <c r="B63" s="18" t="s">
        <v>864</v>
      </c>
      <c r="C63" s="19" t="s">
        <v>171</v>
      </c>
      <c r="D63" s="19" t="s">
        <v>710</v>
      </c>
      <c r="E63" s="19" t="s">
        <v>879</v>
      </c>
      <c r="F63" s="58">
        <v>8</v>
      </c>
      <c r="G63" s="43">
        <v>22</v>
      </c>
      <c r="H63" s="44">
        <v>57.9</v>
      </c>
      <c r="I63" s="44" t="s">
        <v>38</v>
      </c>
      <c r="J63" s="43">
        <v>120</v>
      </c>
      <c r="K63" s="44">
        <v>10.199999999999999</v>
      </c>
      <c r="L63" s="44" t="s">
        <v>122</v>
      </c>
      <c r="M63" s="43" t="s">
        <v>115</v>
      </c>
      <c r="N63" s="45">
        <v>0</v>
      </c>
      <c r="O63" s="45">
        <v>3</v>
      </c>
      <c r="P63" s="45">
        <v>1</v>
      </c>
      <c r="Q63" s="45">
        <v>1</v>
      </c>
      <c r="R63" s="46">
        <v>3.95</v>
      </c>
      <c r="S63" s="46">
        <v>4</v>
      </c>
      <c r="T63" s="46">
        <v>292</v>
      </c>
      <c r="U63" s="47">
        <v>2909</v>
      </c>
      <c r="V63" s="23">
        <v>24</v>
      </c>
      <c r="W63" s="38">
        <v>0</v>
      </c>
      <c r="X63" s="38">
        <v>0</v>
      </c>
      <c r="Y63" s="38">
        <v>24</v>
      </c>
      <c r="Z63" s="38">
        <v>0</v>
      </c>
      <c r="AA63" s="44">
        <v>0</v>
      </c>
      <c r="AB63" s="44">
        <f t="shared" ref="AB63" si="44">AA63/24</f>
        <v>0</v>
      </c>
      <c r="AC63" s="52" t="s">
        <v>119</v>
      </c>
      <c r="AD63" s="40">
        <v>188</v>
      </c>
      <c r="AE63" s="40"/>
      <c r="AF63" s="41">
        <v>0</v>
      </c>
      <c r="AG63" s="40">
        <v>0</v>
      </c>
      <c r="AH63" s="38">
        <v>0</v>
      </c>
      <c r="AI63" s="38">
        <v>0</v>
      </c>
      <c r="AJ63" s="38">
        <v>1.3</v>
      </c>
      <c r="AK63" s="38">
        <v>0</v>
      </c>
      <c r="AL63" s="24">
        <f t="shared" si="42"/>
        <v>1.3</v>
      </c>
      <c r="AM63" s="12"/>
      <c r="AN63" s="12"/>
      <c r="AO63" s="12"/>
      <c r="AP63" s="12"/>
      <c r="AQ63" s="55">
        <f t="shared" si="43"/>
        <v>394.59999999999997</v>
      </c>
      <c r="AR63" s="38"/>
      <c r="AS63" s="38">
        <v>190</v>
      </c>
      <c r="AT63" s="26"/>
      <c r="AU63" s="49"/>
      <c r="AV63" s="136"/>
      <c r="AW63" s="137"/>
    </row>
    <row r="64" spans="1:50" ht="19.399999999999999" customHeight="1">
      <c r="A64" s="18" t="s">
        <v>134</v>
      </c>
      <c r="B64" s="18" t="s">
        <v>864</v>
      </c>
      <c r="C64" s="19" t="s">
        <v>171</v>
      </c>
      <c r="D64" s="19" t="s">
        <v>710</v>
      </c>
      <c r="E64" s="19" t="s">
        <v>880</v>
      </c>
      <c r="F64" s="58">
        <v>8</v>
      </c>
      <c r="G64" s="43">
        <v>22</v>
      </c>
      <c r="H64" s="44">
        <v>57.9</v>
      </c>
      <c r="I64" s="44" t="s">
        <v>38</v>
      </c>
      <c r="J64" s="43">
        <v>120</v>
      </c>
      <c r="K64" s="44">
        <v>10.199999999999999</v>
      </c>
      <c r="L64" s="44" t="s">
        <v>122</v>
      </c>
      <c r="M64" s="43" t="s">
        <v>115</v>
      </c>
      <c r="N64" s="45">
        <v>0</v>
      </c>
      <c r="O64" s="45">
        <v>3</v>
      </c>
      <c r="P64" s="45">
        <v>1</v>
      </c>
      <c r="Q64" s="45">
        <v>1</v>
      </c>
      <c r="R64" s="46">
        <v>3.95</v>
      </c>
      <c r="S64" s="46">
        <v>4</v>
      </c>
      <c r="T64" s="46">
        <v>292</v>
      </c>
      <c r="U64" s="47">
        <v>2909</v>
      </c>
      <c r="V64" s="23">
        <v>24</v>
      </c>
      <c r="W64" s="38">
        <v>0</v>
      </c>
      <c r="X64" s="38">
        <v>0</v>
      </c>
      <c r="Y64" s="38">
        <v>24</v>
      </c>
      <c r="Z64" s="38">
        <v>0</v>
      </c>
      <c r="AA64" s="44">
        <v>0</v>
      </c>
      <c r="AB64" s="44">
        <f t="shared" ref="AB64" si="45">AA64/24</f>
        <v>0</v>
      </c>
      <c r="AC64" s="52" t="s">
        <v>119</v>
      </c>
      <c r="AD64" s="40">
        <v>191</v>
      </c>
      <c r="AE64" s="40"/>
      <c r="AF64" s="41">
        <v>0</v>
      </c>
      <c r="AG64" s="41">
        <v>0</v>
      </c>
      <c r="AH64" s="38">
        <v>0</v>
      </c>
      <c r="AI64" s="38">
        <v>0</v>
      </c>
      <c r="AJ64" s="38">
        <v>1.3</v>
      </c>
      <c r="AK64" s="38">
        <v>0</v>
      </c>
      <c r="AL64" s="24">
        <f t="shared" si="42"/>
        <v>1.3</v>
      </c>
      <c r="AM64" s="12"/>
      <c r="AN64" s="12"/>
      <c r="AO64" s="12"/>
      <c r="AP64" s="12"/>
      <c r="AQ64" s="55">
        <f t="shared" si="43"/>
        <v>393.29999999999995</v>
      </c>
      <c r="AR64" s="38"/>
      <c r="AS64" s="38">
        <v>188</v>
      </c>
      <c r="AT64" s="26"/>
      <c r="AU64" s="49"/>
      <c r="AV64" s="136"/>
      <c r="AW64" s="137"/>
    </row>
    <row r="65" spans="1:49" ht="19.399999999999999" customHeight="1">
      <c r="A65" s="18" t="s">
        <v>134</v>
      </c>
      <c r="B65" s="18" t="s">
        <v>864</v>
      </c>
      <c r="C65" s="19" t="s">
        <v>171</v>
      </c>
      <c r="D65" s="19" t="s">
        <v>710</v>
      </c>
      <c r="E65" s="19" t="s">
        <v>881</v>
      </c>
      <c r="F65" s="58">
        <v>8</v>
      </c>
      <c r="G65" s="43">
        <v>22</v>
      </c>
      <c r="H65" s="44">
        <v>57.9</v>
      </c>
      <c r="I65" s="44" t="s">
        <v>38</v>
      </c>
      <c r="J65" s="43">
        <v>120</v>
      </c>
      <c r="K65" s="44">
        <v>10.199999999999999</v>
      </c>
      <c r="L65" s="44" t="s">
        <v>122</v>
      </c>
      <c r="M65" s="43" t="s">
        <v>115</v>
      </c>
      <c r="N65" s="45">
        <v>0</v>
      </c>
      <c r="O65" s="45">
        <v>3</v>
      </c>
      <c r="P65" s="45">
        <v>1</v>
      </c>
      <c r="Q65" s="45">
        <v>1</v>
      </c>
      <c r="R65" s="46">
        <v>3.95</v>
      </c>
      <c r="S65" s="46">
        <v>4</v>
      </c>
      <c r="T65" s="46">
        <v>292</v>
      </c>
      <c r="U65" s="47">
        <v>2909</v>
      </c>
      <c r="V65" s="23">
        <v>24</v>
      </c>
      <c r="W65" s="38">
        <v>0</v>
      </c>
      <c r="X65" s="38">
        <v>0</v>
      </c>
      <c r="Y65" s="38">
        <v>24</v>
      </c>
      <c r="Z65" s="38">
        <v>0</v>
      </c>
      <c r="AA65" s="44">
        <v>0</v>
      </c>
      <c r="AB65" s="44">
        <f t="shared" ref="AB65" si="46">AA65/24</f>
        <v>0</v>
      </c>
      <c r="AC65" s="52" t="s">
        <v>113</v>
      </c>
      <c r="AD65" s="40">
        <v>188</v>
      </c>
      <c r="AE65" s="40"/>
      <c r="AF65" s="41">
        <v>0</v>
      </c>
      <c r="AG65" s="41">
        <v>0</v>
      </c>
      <c r="AH65" s="38">
        <v>0</v>
      </c>
      <c r="AI65" s="38">
        <v>0</v>
      </c>
      <c r="AJ65" s="38">
        <v>1.6</v>
      </c>
      <c r="AK65" s="56">
        <v>0</v>
      </c>
      <c r="AL65" s="24">
        <f t="shared" si="42"/>
        <v>1.6</v>
      </c>
      <c r="AM65" s="12"/>
      <c r="AN65" s="12"/>
      <c r="AO65" s="12"/>
      <c r="AP65" s="12"/>
      <c r="AQ65" s="55">
        <f t="shared" si="43"/>
        <v>391.69999999999993</v>
      </c>
      <c r="AR65" s="38"/>
      <c r="AS65" s="38">
        <v>183</v>
      </c>
      <c r="AT65" s="26"/>
      <c r="AU65" s="49"/>
      <c r="AV65" s="136"/>
      <c r="AW65" s="137"/>
    </row>
    <row r="66" spans="1:49" ht="19.399999999999999" customHeight="1">
      <c r="A66" s="18" t="s">
        <v>134</v>
      </c>
      <c r="B66" s="18" t="s">
        <v>864</v>
      </c>
      <c r="C66" s="19" t="s">
        <v>171</v>
      </c>
      <c r="D66" s="19" t="s">
        <v>710</v>
      </c>
      <c r="E66" s="19" t="s">
        <v>882</v>
      </c>
      <c r="F66" s="58">
        <v>8</v>
      </c>
      <c r="G66" s="43">
        <v>22</v>
      </c>
      <c r="H66" s="44">
        <v>57.9</v>
      </c>
      <c r="I66" s="44" t="s">
        <v>38</v>
      </c>
      <c r="J66" s="43">
        <v>120</v>
      </c>
      <c r="K66" s="44">
        <v>10.199999999999999</v>
      </c>
      <c r="L66" s="44" t="s">
        <v>122</v>
      </c>
      <c r="M66" s="43" t="s">
        <v>115</v>
      </c>
      <c r="N66" s="45">
        <v>0</v>
      </c>
      <c r="O66" s="45">
        <v>3</v>
      </c>
      <c r="P66" s="45">
        <v>1</v>
      </c>
      <c r="Q66" s="45">
        <v>1</v>
      </c>
      <c r="R66" s="46">
        <v>3.95</v>
      </c>
      <c r="S66" s="46">
        <v>4</v>
      </c>
      <c r="T66" s="46">
        <v>292</v>
      </c>
      <c r="U66" s="47">
        <v>2909</v>
      </c>
      <c r="V66" s="23">
        <v>24</v>
      </c>
      <c r="W66" s="38">
        <v>0</v>
      </c>
      <c r="X66" s="38">
        <v>0</v>
      </c>
      <c r="Y66" s="38">
        <v>24</v>
      </c>
      <c r="Z66" s="38">
        <v>0</v>
      </c>
      <c r="AA66" s="44">
        <v>0</v>
      </c>
      <c r="AB66" s="44">
        <f t="shared" ref="AB66" si="47">AA66/24</f>
        <v>0</v>
      </c>
      <c r="AC66" s="52" t="s">
        <v>113</v>
      </c>
      <c r="AD66" s="40">
        <v>211</v>
      </c>
      <c r="AE66" s="40"/>
      <c r="AF66" s="41">
        <v>0</v>
      </c>
      <c r="AG66" s="41">
        <v>0</v>
      </c>
      <c r="AH66" s="38">
        <v>0</v>
      </c>
      <c r="AI66" s="38">
        <v>0</v>
      </c>
      <c r="AJ66" s="38">
        <v>1.6</v>
      </c>
      <c r="AK66" s="56">
        <v>0</v>
      </c>
      <c r="AL66" s="24">
        <f t="shared" si="42"/>
        <v>1.6</v>
      </c>
      <c r="AM66" s="12"/>
      <c r="AN66" s="12"/>
      <c r="AO66" s="12"/>
      <c r="AP66" s="12"/>
      <c r="AQ66" s="55">
        <f t="shared" si="43"/>
        <v>390.09999999999991</v>
      </c>
      <c r="AR66" s="38"/>
      <c r="AS66" s="38">
        <v>178</v>
      </c>
      <c r="AT66" s="26"/>
      <c r="AU66" s="49"/>
      <c r="AV66" s="136"/>
      <c r="AW66" s="137"/>
    </row>
    <row r="67" spans="1:49" ht="19.399999999999999" customHeight="1">
      <c r="A67" s="18" t="s">
        <v>134</v>
      </c>
      <c r="B67" s="18" t="s">
        <v>864</v>
      </c>
      <c r="C67" s="19" t="s">
        <v>171</v>
      </c>
      <c r="D67" s="19" t="s">
        <v>710</v>
      </c>
      <c r="E67" s="19" t="s">
        <v>883</v>
      </c>
      <c r="F67" s="58">
        <v>8</v>
      </c>
      <c r="G67" s="43">
        <v>22</v>
      </c>
      <c r="H67" s="44">
        <v>57.9</v>
      </c>
      <c r="I67" s="44" t="s">
        <v>38</v>
      </c>
      <c r="J67" s="43">
        <v>120</v>
      </c>
      <c r="K67" s="44">
        <v>10.199999999999999</v>
      </c>
      <c r="L67" s="44" t="s">
        <v>122</v>
      </c>
      <c r="M67" s="43" t="s">
        <v>115</v>
      </c>
      <c r="N67" s="45">
        <v>0</v>
      </c>
      <c r="O67" s="45">
        <v>3</v>
      </c>
      <c r="P67" s="45">
        <v>1</v>
      </c>
      <c r="Q67" s="45">
        <v>1</v>
      </c>
      <c r="R67" s="46">
        <v>3.95</v>
      </c>
      <c r="S67" s="46">
        <v>4</v>
      </c>
      <c r="T67" s="46">
        <v>292</v>
      </c>
      <c r="U67" s="47">
        <v>2909</v>
      </c>
      <c r="V67" s="23">
        <v>24</v>
      </c>
      <c r="W67" s="38">
        <v>0</v>
      </c>
      <c r="X67" s="38">
        <v>0</v>
      </c>
      <c r="Y67" s="38">
        <v>24</v>
      </c>
      <c r="Z67" s="38">
        <v>0</v>
      </c>
      <c r="AA67" s="44">
        <v>0</v>
      </c>
      <c r="AB67" s="44">
        <f t="shared" ref="AB67" si="48">AA67/24</f>
        <v>0</v>
      </c>
      <c r="AC67" s="52" t="s">
        <v>113</v>
      </c>
      <c r="AD67" s="40">
        <v>236</v>
      </c>
      <c r="AE67" s="40"/>
      <c r="AF67" s="41">
        <v>0</v>
      </c>
      <c r="AG67" s="41">
        <v>0</v>
      </c>
      <c r="AH67" s="38">
        <v>0</v>
      </c>
      <c r="AI67" s="38">
        <v>0</v>
      </c>
      <c r="AJ67" s="38">
        <v>1.6</v>
      </c>
      <c r="AK67" s="56">
        <v>0</v>
      </c>
      <c r="AL67" s="24">
        <f t="shared" si="42"/>
        <v>1.6</v>
      </c>
      <c r="AM67" s="12"/>
      <c r="AN67" s="12"/>
      <c r="AO67" s="12"/>
      <c r="AP67" s="12"/>
      <c r="AQ67" s="55">
        <f t="shared" si="43"/>
        <v>388.49999999999989</v>
      </c>
      <c r="AR67" s="38"/>
      <c r="AS67" s="38">
        <v>172</v>
      </c>
      <c r="AT67" s="26"/>
      <c r="AU67" s="49"/>
      <c r="AV67" s="136"/>
      <c r="AW67" s="137"/>
    </row>
    <row r="68" spans="1:49" ht="19.399999999999999" customHeight="1">
      <c r="A68" s="18" t="s">
        <v>134</v>
      </c>
      <c r="B68" s="18" t="s">
        <v>864</v>
      </c>
      <c r="C68" s="19" t="s">
        <v>171</v>
      </c>
      <c r="D68" s="19" t="s">
        <v>710</v>
      </c>
      <c r="E68" s="19" t="s">
        <v>884</v>
      </c>
      <c r="F68" s="58">
        <v>8</v>
      </c>
      <c r="G68" s="43">
        <v>22</v>
      </c>
      <c r="H68" s="44">
        <v>57.9</v>
      </c>
      <c r="I68" s="44" t="s">
        <v>38</v>
      </c>
      <c r="J68" s="43">
        <v>120</v>
      </c>
      <c r="K68" s="44">
        <v>10.199999999999999</v>
      </c>
      <c r="L68" s="44" t="s">
        <v>122</v>
      </c>
      <c r="M68" s="43" t="s">
        <v>115</v>
      </c>
      <c r="N68" s="45">
        <v>0</v>
      </c>
      <c r="O68" s="45">
        <v>3</v>
      </c>
      <c r="P68" s="45">
        <v>1</v>
      </c>
      <c r="Q68" s="45">
        <v>1</v>
      </c>
      <c r="R68" s="46">
        <v>3.95</v>
      </c>
      <c r="S68" s="46">
        <v>4</v>
      </c>
      <c r="T68" s="46">
        <v>292</v>
      </c>
      <c r="U68" s="47">
        <v>2909</v>
      </c>
      <c r="V68" s="23">
        <v>24</v>
      </c>
      <c r="W68" s="38">
        <v>0</v>
      </c>
      <c r="X68" s="38">
        <v>0</v>
      </c>
      <c r="Y68" s="38">
        <v>24</v>
      </c>
      <c r="Z68" s="38">
        <v>0</v>
      </c>
      <c r="AA68" s="44">
        <v>0</v>
      </c>
      <c r="AB68" s="44">
        <f t="shared" ref="AB68" si="49">AA68/24</f>
        <v>0</v>
      </c>
      <c r="AC68" s="52" t="s">
        <v>113</v>
      </c>
      <c r="AD68" s="40">
        <v>187</v>
      </c>
      <c r="AE68" s="40"/>
      <c r="AF68" s="41">
        <v>0</v>
      </c>
      <c r="AG68" s="41">
        <v>0</v>
      </c>
      <c r="AH68" s="38">
        <v>0</v>
      </c>
      <c r="AI68" s="38">
        <v>0</v>
      </c>
      <c r="AJ68" s="38">
        <v>1.4</v>
      </c>
      <c r="AK68" s="56">
        <v>0</v>
      </c>
      <c r="AL68" s="24">
        <f t="shared" si="42"/>
        <v>1.4</v>
      </c>
      <c r="AM68" s="12"/>
      <c r="AN68" s="12"/>
      <c r="AO68" s="12"/>
      <c r="AP68" s="12"/>
      <c r="AQ68" s="55">
        <f t="shared" si="43"/>
        <v>387.09999999999991</v>
      </c>
      <c r="AR68" s="38"/>
      <c r="AS68" s="38">
        <v>167</v>
      </c>
      <c r="AT68" s="26"/>
      <c r="AU68" s="49"/>
      <c r="AV68" s="136"/>
      <c r="AW68" s="137"/>
    </row>
    <row r="69" spans="1:49" ht="19.399999999999999" customHeight="1">
      <c r="A69" s="18" t="s">
        <v>134</v>
      </c>
      <c r="B69" s="18" t="s">
        <v>864</v>
      </c>
      <c r="C69" s="19" t="s">
        <v>171</v>
      </c>
      <c r="D69" s="19" t="s">
        <v>710</v>
      </c>
      <c r="E69" s="19" t="s">
        <v>885</v>
      </c>
      <c r="F69" s="58">
        <v>8</v>
      </c>
      <c r="G69" s="43">
        <v>22</v>
      </c>
      <c r="H69" s="44">
        <v>57.9</v>
      </c>
      <c r="I69" s="44" t="s">
        <v>38</v>
      </c>
      <c r="J69" s="43">
        <v>120</v>
      </c>
      <c r="K69" s="44">
        <v>10.199999999999999</v>
      </c>
      <c r="L69" s="44" t="s">
        <v>122</v>
      </c>
      <c r="M69" s="43" t="s">
        <v>115</v>
      </c>
      <c r="N69" s="45">
        <v>0</v>
      </c>
      <c r="O69" s="45">
        <v>3</v>
      </c>
      <c r="P69" s="45">
        <v>1</v>
      </c>
      <c r="Q69" s="45">
        <v>1</v>
      </c>
      <c r="R69" s="46">
        <v>3.95</v>
      </c>
      <c r="S69" s="46">
        <v>4</v>
      </c>
      <c r="T69" s="46">
        <v>292</v>
      </c>
      <c r="U69" s="47">
        <v>2909</v>
      </c>
      <c r="V69" s="23">
        <v>24</v>
      </c>
      <c r="W69" s="38">
        <v>0</v>
      </c>
      <c r="X69" s="38">
        <v>0</v>
      </c>
      <c r="Y69" s="38">
        <v>24</v>
      </c>
      <c r="Z69" s="38">
        <v>0</v>
      </c>
      <c r="AA69" s="44">
        <v>0</v>
      </c>
      <c r="AB69" s="44">
        <f t="shared" ref="AB69:AB70" si="50">AA69/24</f>
        <v>0</v>
      </c>
      <c r="AC69" s="52" t="s">
        <v>113</v>
      </c>
      <c r="AD69" s="40">
        <v>168</v>
      </c>
      <c r="AE69" s="40"/>
      <c r="AF69" s="41">
        <v>0</v>
      </c>
      <c r="AG69" s="41">
        <v>0</v>
      </c>
      <c r="AH69" s="38">
        <v>0</v>
      </c>
      <c r="AI69" s="38">
        <v>0</v>
      </c>
      <c r="AJ69" s="38">
        <v>1.8</v>
      </c>
      <c r="AK69" s="56">
        <v>0</v>
      </c>
      <c r="AL69" s="24">
        <f t="shared" si="42"/>
        <v>1.8</v>
      </c>
      <c r="AM69" s="12"/>
      <c r="AN69" s="12"/>
      <c r="AO69" s="12"/>
      <c r="AP69" s="12"/>
      <c r="AQ69" s="55">
        <f t="shared" si="43"/>
        <v>385.2999999999999</v>
      </c>
      <c r="AR69" s="38"/>
      <c r="AS69" s="38">
        <v>164</v>
      </c>
      <c r="AT69" s="26"/>
      <c r="AU69" s="49"/>
      <c r="AV69" s="136"/>
      <c r="AW69" s="137"/>
    </row>
    <row r="70" spans="1:49" ht="19.399999999999999" customHeight="1">
      <c r="A70" s="18" t="s">
        <v>134</v>
      </c>
      <c r="B70" s="18" t="s">
        <v>864</v>
      </c>
      <c r="C70" s="19" t="s">
        <v>171</v>
      </c>
      <c r="D70" s="19" t="s">
        <v>710</v>
      </c>
      <c r="E70" s="19" t="s">
        <v>886</v>
      </c>
      <c r="F70" s="58">
        <v>8</v>
      </c>
      <c r="G70" s="43">
        <v>22</v>
      </c>
      <c r="H70" s="44">
        <v>57.9</v>
      </c>
      <c r="I70" s="44" t="s">
        <v>38</v>
      </c>
      <c r="J70" s="43">
        <v>120</v>
      </c>
      <c r="K70" s="44">
        <v>10.199999999999999</v>
      </c>
      <c r="L70" s="44" t="s">
        <v>122</v>
      </c>
      <c r="M70" s="43" t="s">
        <v>115</v>
      </c>
      <c r="N70" s="45">
        <v>0</v>
      </c>
      <c r="O70" s="45">
        <v>3</v>
      </c>
      <c r="P70" s="45">
        <v>1</v>
      </c>
      <c r="Q70" s="45">
        <v>1</v>
      </c>
      <c r="R70" s="46">
        <v>3.95</v>
      </c>
      <c r="S70" s="46">
        <v>4</v>
      </c>
      <c r="T70" s="46">
        <v>292</v>
      </c>
      <c r="U70" s="47">
        <v>2909</v>
      </c>
      <c r="V70" s="23">
        <v>24</v>
      </c>
      <c r="W70" s="38">
        <v>0</v>
      </c>
      <c r="X70" s="38">
        <v>0</v>
      </c>
      <c r="Y70" s="38">
        <v>24</v>
      </c>
      <c r="Z70" s="38">
        <v>0</v>
      </c>
      <c r="AA70" s="44">
        <v>0</v>
      </c>
      <c r="AB70" s="44">
        <f t="shared" si="50"/>
        <v>0</v>
      </c>
      <c r="AC70" s="52" t="s">
        <v>113</v>
      </c>
      <c r="AD70" s="40">
        <v>176</v>
      </c>
      <c r="AE70" s="40"/>
      <c r="AF70" s="41">
        <v>0</v>
      </c>
      <c r="AG70" s="41">
        <v>0</v>
      </c>
      <c r="AH70" s="38">
        <v>0</v>
      </c>
      <c r="AI70" s="38">
        <v>0</v>
      </c>
      <c r="AJ70" s="38">
        <v>2</v>
      </c>
      <c r="AK70" s="56">
        <v>0</v>
      </c>
      <c r="AL70" s="24">
        <f t="shared" si="42"/>
        <v>2</v>
      </c>
      <c r="AM70" s="12"/>
      <c r="AN70" s="12"/>
      <c r="AO70" s="12"/>
      <c r="AP70" s="12"/>
      <c r="AQ70" s="55">
        <f t="shared" si="43"/>
        <v>383.2999999999999</v>
      </c>
      <c r="AR70" s="38"/>
      <c r="AS70" s="38">
        <v>159</v>
      </c>
      <c r="AT70" s="26"/>
      <c r="AU70" s="49"/>
      <c r="AV70" s="136"/>
      <c r="AW70" s="137"/>
    </row>
    <row r="71" spans="1:49" ht="19.399999999999999" customHeight="1">
      <c r="A71" s="18" t="s">
        <v>134</v>
      </c>
      <c r="B71" s="18" t="s">
        <v>889</v>
      </c>
      <c r="C71" s="19" t="s">
        <v>710</v>
      </c>
      <c r="D71" s="19" t="s">
        <v>710</v>
      </c>
      <c r="E71" s="19" t="s">
        <v>890</v>
      </c>
      <c r="F71" s="58">
        <v>8</v>
      </c>
      <c r="G71" s="43">
        <v>22</v>
      </c>
      <c r="H71" s="44">
        <v>46.9</v>
      </c>
      <c r="I71" s="44" t="s">
        <v>38</v>
      </c>
      <c r="J71" s="43">
        <v>119</v>
      </c>
      <c r="K71" s="44">
        <v>58.8</v>
      </c>
      <c r="L71" s="44" t="s">
        <v>122</v>
      </c>
      <c r="M71" s="43" t="s">
        <v>115</v>
      </c>
      <c r="N71" s="45">
        <v>14</v>
      </c>
      <c r="O71" s="45">
        <v>3</v>
      </c>
      <c r="P71" s="45">
        <v>2</v>
      </c>
      <c r="Q71" s="45">
        <v>1</v>
      </c>
      <c r="R71" s="46">
        <v>3.95</v>
      </c>
      <c r="S71" s="46">
        <v>4</v>
      </c>
      <c r="T71" s="46">
        <v>295</v>
      </c>
      <c r="U71" s="47">
        <v>2961</v>
      </c>
      <c r="V71" s="23">
        <v>24</v>
      </c>
      <c r="W71" s="38">
        <v>1.6</v>
      </c>
      <c r="X71" s="38">
        <v>0.6</v>
      </c>
      <c r="Y71" s="38">
        <v>21.8</v>
      </c>
      <c r="Z71" s="38">
        <v>0</v>
      </c>
      <c r="AA71" s="44">
        <v>15.2</v>
      </c>
      <c r="AB71" s="44">
        <f t="shared" ref="AB71" si="51">AA71/24</f>
        <v>0.6333333333333333</v>
      </c>
      <c r="AC71" s="52" t="s">
        <v>130</v>
      </c>
      <c r="AD71" s="40" t="s">
        <v>887</v>
      </c>
      <c r="AE71" s="40"/>
      <c r="AF71" s="41" t="s">
        <v>888</v>
      </c>
      <c r="AG71" s="41" t="s">
        <v>198</v>
      </c>
      <c r="AH71" s="38">
        <v>0.2</v>
      </c>
      <c r="AI71" s="38">
        <v>0.1</v>
      </c>
      <c r="AJ71" s="38">
        <v>1.3</v>
      </c>
      <c r="AK71" s="56">
        <v>0</v>
      </c>
      <c r="AL71" s="24">
        <f t="shared" si="42"/>
        <v>1.6</v>
      </c>
      <c r="AM71" s="12"/>
      <c r="AN71" s="12"/>
      <c r="AO71" s="12"/>
      <c r="AP71" s="12"/>
      <c r="AQ71" s="55">
        <f t="shared" si="43"/>
        <v>381.69999999999987</v>
      </c>
      <c r="AR71" s="38"/>
      <c r="AS71" s="38">
        <v>156</v>
      </c>
      <c r="AT71" s="26"/>
      <c r="AU71" s="49"/>
      <c r="AV71" s="136"/>
      <c r="AW71" s="137"/>
    </row>
    <row r="72" spans="1:49" ht="19.399999999999999" customHeight="1">
      <c r="A72" s="18" t="s">
        <v>134</v>
      </c>
      <c r="B72" s="18" t="s">
        <v>889</v>
      </c>
      <c r="C72" s="19" t="s">
        <v>710</v>
      </c>
      <c r="D72" s="19" t="s">
        <v>710</v>
      </c>
      <c r="E72" s="19" t="s">
        <v>893</v>
      </c>
      <c r="F72" s="58">
        <v>8</v>
      </c>
      <c r="G72" s="43">
        <v>22</v>
      </c>
      <c r="H72" s="44">
        <v>32.1</v>
      </c>
      <c r="I72" s="44" t="s">
        <v>38</v>
      </c>
      <c r="J72" s="43">
        <v>120</v>
      </c>
      <c r="K72" s="44">
        <v>3</v>
      </c>
      <c r="L72" s="44" t="s">
        <v>122</v>
      </c>
      <c r="M72" s="43" t="s">
        <v>117</v>
      </c>
      <c r="N72" s="45">
        <v>14</v>
      </c>
      <c r="O72" s="45">
        <v>5</v>
      </c>
      <c r="P72" s="45">
        <v>4</v>
      </c>
      <c r="Q72" s="45">
        <v>2</v>
      </c>
      <c r="R72" s="46">
        <v>3.95</v>
      </c>
      <c r="S72" s="46">
        <v>4</v>
      </c>
      <c r="T72" s="46">
        <v>295</v>
      </c>
      <c r="U72" s="47">
        <v>2961</v>
      </c>
      <c r="V72" s="23">
        <v>24</v>
      </c>
      <c r="W72" s="38">
        <v>0</v>
      </c>
      <c r="X72" s="38">
        <v>24</v>
      </c>
      <c r="Y72" s="38">
        <v>0</v>
      </c>
      <c r="Z72" s="38">
        <v>0</v>
      </c>
      <c r="AA72" s="44">
        <v>67.5</v>
      </c>
      <c r="AB72" s="44">
        <f t="shared" ref="AB72" si="52">AA72/24</f>
        <v>2.8125</v>
      </c>
      <c r="AC72" s="52" t="s">
        <v>130</v>
      </c>
      <c r="AD72" s="40" t="s">
        <v>891</v>
      </c>
      <c r="AE72" s="40"/>
      <c r="AF72" s="41" t="s">
        <v>892</v>
      </c>
      <c r="AG72" s="41" t="s">
        <v>470</v>
      </c>
      <c r="AH72" s="38">
        <v>0</v>
      </c>
      <c r="AI72" s="38">
        <v>3.2</v>
      </c>
      <c r="AJ72" s="38">
        <v>0</v>
      </c>
      <c r="AK72" s="56">
        <v>0</v>
      </c>
      <c r="AL72" s="24">
        <f t="shared" si="42"/>
        <v>3.2</v>
      </c>
      <c r="AM72" s="12"/>
      <c r="AN72" s="12"/>
      <c r="AO72" s="12"/>
      <c r="AP72" s="12"/>
      <c r="AQ72" s="55">
        <f t="shared" si="43"/>
        <v>378.49999999999989</v>
      </c>
      <c r="AR72" s="38"/>
      <c r="AS72" s="38">
        <v>149</v>
      </c>
      <c r="AT72" s="26"/>
      <c r="AU72" s="49"/>
      <c r="AV72" s="136"/>
      <c r="AW72" s="137"/>
    </row>
    <row r="73" spans="1:49" ht="19.399999999999999" customHeight="1">
      <c r="A73" s="18" t="s">
        <v>134</v>
      </c>
      <c r="B73" s="18" t="s">
        <v>889</v>
      </c>
      <c r="C73" s="19" t="s">
        <v>710</v>
      </c>
      <c r="D73" s="19" t="s">
        <v>710</v>
      </c>
      <c r="E73" s="19" t="s">
        <v>896</v>
      </c>
      <c r="F73" s="58">
        <v>8</v>
      </c>
      <c r="G73" s="43">
        <v>22</v>
      </c>
      <c r="H73" s="44">
        <v>37.200000000000003</v>
      </c>
      <c r="I73" s="44" t="s">
        <v>38</v>
      </c>
      <c r="J73" s="43">
        <v>120</v>
      </c>
      <c r="K73" s="44">
        <v>0.4</v>
      </c>
      <c r="L73" s="44" t="s">
        <v>122</v>
      </c>
      <c r="M73" s="43" t="s">
        <v>117</v>
      </c>
      <c r="N73" s="45">
        <v>14</v>
      </c>
      <c r="O73" s="45">
        <v>5</v>
      </c>
      <c r="P73" s="45">
        <v>3</v>
      </c>
      <c r="Q73" s="45">
        <v>2</v>
      </c>
      <c r="R73" s="46">
        <v>3.95</v>
      </c>
      <c r="S73" s="46">
        <v>4</v>
      </c>
      <c r="T73" s="46">
        <v>295</v>
      </c>
      <c r="U73" s="47">
        <v>2961</v>
      </c>
      <c r="V73" s="23">
        <v>24</v>
      </c>
      <c r="W73" s="38">
        <v>10</v>
      </c>
      <c r="X73" s="38">
        <v>14</v>
      </c>
      <c r="Y73" s="38">
        <v>0</v>
      </c>
      <c r="Z73" s="38">
        <v>0</v>
      </c>
      <c r="AA73" s="44">
        <v>86.2</v>
      </c>
      <c r="AB73" s="44">
        <f t="shared" ref="AB73" si="53">AA73/24</f>
        <v>3.5916666666666668</v>
      </c>
      <c r="AC73" s="52" t="s">
        <v>130</v>
      </c>
      <c r="AD73" s="40" t="s">
        <v>894</v>
      </c>
      <c r="AE73" s="40"/>
      <c r="AF73" s="41" t="s">
        <v>895</v>
      </c>
      <c r="AG73" s="41" t="s">
        <v>470</v>
      </c>
      <c r="AH73" s="38">
        <v>2.1</v>
      </c>
      <c r="AI73" s="38">
        <v>2.1</v>
      </c>
      <c r="AJ73" s="38">
        <v>0</v>
      </c>
      <c r="AK73" s="56">
        <v>0</v>
      </c>
      <c r="AL73" s="24">
        <f t="shared" si="42"/>
        <v>4.2</v>
      </c>
      <c r="AM73" s="12"/>
      <c r="AN73" s="12"/>
      <c r="AO73" s="12"/>
      <c r="AP73" s="12"/>
      <c r="AQ73" s="55">
        <f t="shared" si="43"/>
        <v>374.2999999999999</v>
      </c>
      <c r="AR73" s="38"/>
      <c r="AS73" s="38">
        <v>141</v>
      </c>
      <c r="AT73" s="26"/>
      <c r="AU73" s="49"/>
      <c r="AV73" s="136"/>
      <c r="AW73" s="137"/>
    </row>
    <row r="74" spans="1:49" ht="19.399999999999999" customHeight="1">
      <c r="A74" s="18" t="s">
        <v>134</v>
      </c>
      <c r="B74" s="18" t="s">
        <v>889</v>
      </c>
      <c r="C74" s="19" t="s">
        <v>710</v>
      </c>
      <c r="D74" s="19" t="s">
        <v>710</v>
      </c>
      <c r="E74" s="19" t="s">
        <v>897</v>
      </c>
      <c r="F74" s="58">
        <v>8</v>
      </c>
      <c r="G74" s="43">
        <v>22</v>
      </c>
      <c r="H74" s="44">
        <v>58.6</v>
      </c>
      <c r="I74" s="44" t="s">
        <v>38</v>
      </c>
      <c r="J74" s="43">
        <v>120</v>
      </c>
      <c r="K74" s="44">
        <v>10.5</v>
      </c>
      <c r="L74" s="44" t="s">
        <v>122</v>
      </c>
      <c r="M74" s="43" t="s">
        <v>117</v>
      </c>
      <c r="N74" s="45">
        <v>14</v>
      </c>
      <c r="O74" s="45">
        <v>3</v>
      </c>
      <c r="P74" s="45">
        <v>2</v>
      </c>
      <c r="Q74" s="45">
        <v>1</v>
      </c>
      <c r="R74" s="46">
        <v>3.95</v>
      </c>
      <c r="S74" s="46">
        <v>4</v>
      </c>
      <c r="T74" s="46">
        <v>295</v>
      </c>
      <c r="U74" s="47">
        <v>2961</v>
      </c>
      <c r="V74" s="23">
        <v>24</v>
      </c>
      <c r="W74" s="38">
        <v>0</v>
      </c>
      <c r="X74" s="38">
        <v>22.9</v>
      </c>
      <c r="Y74" s="38">
        <v>1.1000000000000001</v>
      </c>
      <c r="Z74" s="38">
        <v>0</v>
      </c>
      <c r="AA74" s="44">
        <v>54.6</v>
      </c>
      <c r="AB74" s="44">
        <f t="shared" ref="AB74" si="54">AA74/24</f>
        <v>2.2749999999999999</v>
      </c>
      <c r="AC74" s="52" t="s">
        <v>119</v>
      </c>
      <c r="AD74" s="40">
        <v>201</v>
      </c>
      <c r="AE74" s="40"/>
      <c r="AF74" s="41">
        <v>0</v>
      </c>
      <c r="AG74" s="41">
        <v>0</v>
      </c>
      <c r="AH74" s="38">
        <v>0</v>
      </c>
      <c r="AI74" s="38">
        <v>3.6</v>
      </c>
      <c r="AJ74" s="38">
        <v>0.2</v>
      </c>
      <c r="AK74" s="56">
        <v>0</v>
      </c>
      <c r="AL74" s="24">
        <f t="shared" si="42"/>
        <v>3.8000000000000003</v>
      </c>
      <c r="AM74" s="12"/>
      <c r="AN74" s="12"/>
      <c r="AO74" s="12"/>
      <c r="AP74" s="12"/>
      <c r="AQ74" s="55">
        <f t="shared" si="43"/>
        <v>370.49999999999989</v>
      </c>
      <c r="AR74" s="38"/>
      <c r="AS74" s="38">
        <v>133</v>
      </c>
      <c r="AT74" s="26"/>
      <c r="AU74" s="49"/>
      <c r="AV74" s="136"/>
      <c r="AW74" s="137"/>
    </row>
    <row r="75" spans="1:49" ht="19.399999999999999" customHeight="1">
      <c r="A75" s="18" t="s">
        <v>134</v>
      </c>
      <c r="B75" s="18" t="s">
        <v>889</v>
      </c>
      <c r="C75" s="19" t="s">
        <v>710</v>
      </c>
      <c r="D75" s="19" t="s">
        <v>710</v>
      </c>
      <c r="E75" s="19" t="s">
        <v>898</v>
      </c>
      <c r="F75" s="58">
        <v>8</v>
      </c>
      <c r="G75" s="43">
        <v>22</v>
      </c>
      <c r="H75" s="44">
        <v>58.6</v>
      </c>
      <c r="I75" s="44" t="s">
        <v>38</v>
      </c>
      <c r="J75" s="43">
        <v>120</v>
      </c>
      <c r="K75" s="44">
        <v>10.5</v>
      </c>
      <c r="L75" s="44" t="s">
        <v>122</v>
      </c>
      <c r="M75" s="43" t="s">
        <v>96</v>
      </c>
      <c r="N75" s="45">
        <v>0</v>
      </c>
      <c r="O75" s="45">
        <v>4</v>
      </c>
      <c r="P75" s="45">
        <v>3</v>
      </c>
      <c r="Q75" s="45">
        <v>1</v>
      </c>
      <c r="R75" s="46">
        <v>3.95</v>
      </c>
      <c r="S75" s="46">
        <v>4</v>
      </c>
      <c r="T75" s="46">
        <v>295</v>
      </c>
      <c r="U75" s="47">
        <v>2961</v>
      </c>
      <c r="V75" s="23">
        <v>24</v>
      </c>
      <c r="W75" s="38">
        <v>0</v>
      </c>
      <c r="X75" s="38">
        <v>0</v>
      </c>
      <c r="Y75" s="38">
        <v>24</v>
      </c>
      <c r="Z75" s="38">
        <v>0</v>
      </c>
      <c r="AA75" s="44">
        <v>0</v>
      </c>
      <c r="AB75" s="44">
        <f t="shared" ref="AB75" si="55">AA75/24</f>
        <v>0</v>
      </c>
      <c r="AC75" s="52" t="s">
        <v>119</v>
      </c>
      <c r="AD75" s="40">
        <v>183</v>
      </c>
      <c r="AE75" s="40"/>
      <c r="AF75" s="41">
        <v>0</v>
      </c>
      <c r="AG75" s="41">
        <v>0</v>
      </c>
      <c r="AH75" s="38">
        <v>0</v>
      </c>
      <c r="AI75" s="38">
        <v>0</v>
      </c>
      <c r="AJ75" s="38">
        <v>1.2</v>
      </c>
      <c r="AK75" s="56">
        <v>0</v>
      </c>
      <c r="AL75" s="24">
        <f t="shared" si="42"/>
        <v>1.2</v>
      </c>
      <c r="AM75" s="12"/>
      <c r="AN75" s="12"/>
      <c r="AO75" s="12"/>
      <c r="AP75" s="12"/>
      <c r="AQ75" s="55">
        <f t="shared" si="43"/>
        <v>369.2999999999999</v>
      </c>
      <c r="AR75" s="38"/>
      <c r="AS75" s="38">
        <v>125</v>
      </c>
      <c r="AT75" s="26"/>
      <c r="AU75" s="49"/>
      <c r="AV75" s="136"/>
      <c r="AW75" s="137"/>
    </row>
    <row r="76" spans="1:49" ht="19.399999999999999" customHeight="1">
      <c r="A76" s="18" t="s">
        <v>134</v>
      </c>
      <c r="B76" s="18" t="s">
        <v>889</v>
      </c>
      <c r="C76" s="19" t="s">
        <v>710</v>
      </c>
      <c r="D76" s="19" t="s">
        <v>710</v>
      </c>
      <c r="E76" s="19" t="s">
        <v>900</v>
      </c>
      <c r="F76" s="58">
        <v>8</v>
      </c>
      <c r="G76" s="43">
        <v>22</v>
      </c>
      <c r="H76" s="44">
        <v>58.6</v>
      </c>
      <c r="I76" s="44" t="s">
        <v>38</v>
      </c>
      <c r="J76" s="43">
        <v>120</v>
      </c>
      <c r="K76" s="44">
        <v>10.5</v>
      </c>
      <c r="L76" s="44" t="s">
        <v>122</v>
      </c>
      <c r="M76" s="43" t="s">
        <v>96</v>
      </c>
      <c r="N76" s="45">
        <v>0</v>
      </c>
      <c r="O76" s="45">
        <v>3</v>
      </c>
      <c r="P76" s="45">
        <v>1</v>
      </c>
      <c r="Q76" s="45">
        <v>1</v>
      </c>
      <c r="R76" s="46">
        <v>3.95</v>
      </c>
      <c r="S76" s="46">
        <v>4</v>
      </c>
      <c r="T76" s="46">
        <v>295</v>
      </c>
      <c r="U76" s="47">
        <v>2961</v>
      </c>
      <c r="V76" s="23">
        <v>24</v>
      </c>
      <c r="W76" s="38">
        <v>0</v>
      </c>
      <c r="X76" s="38">
        <v>0</v>
      </c>
      <c r="Y76" s="38">
        <v>24</v>
      </c>
      <c r="Z76" s="38">
        <v>0</v>
      </c>
      <c r="AA76" s="44">
        <v>0</v>
      </c>
      <c r="AB76" s="44">
        <f t="shared" ref="AB76" si="56">AA76/24</f>
        <v>0</v>
      </c>
      <c r="AC76" s="52" t="s">
        <v>119</v>
      </c>
      <c r="AD76" s="40">
        <v>175</v>
      </c>
      <c r="AE76" s="40"/>
      <c r="AF76" s="41">
        <v>0</v>
      </c>
      <c r="AG76" s="41">
        <v>0</v>
      </c>
      <c r="AH76" s="38">
        <v>0</v>
      </c>
      <c r="AI76" s="38">
        <v>0</v>
      </c>
      <c r="AJ76" s="38">
        <v>1</v>
      </c>
      <c r="AK76" s="56">
        <v>0</v>
      </c>
      <c r="AL76" s="24">
        <f t="shared" si="42"/>
        <v>1</v>
      </c>
      <c r="AM76" s="12"/>
      <c r="AN76" s="12"/>
      <c r="AO76" s="12"/>
      <c r="AP76" s="12"/>
      <c r="AQ76" s="55">
        <f t="shared" si="43"/>
        <v>368.2999999999999</v>
      </c>
      <c r="AR76" s="38"/>
      <c r="AS76" s="38">
        <v>324</v>
      </c>
      <c r="AT76" s="26"/>
      <c r="AU76" s="49"/>
      <c r="AV76" s="136" t="s">
        <v>899</v>
      </c>
      <c r="AW76" s="137"/>
    </row>
    <row r="77" spans="1:49" ht="19.399999999999999" customHeight="1">
      <c r="A77" s="18" t="s">
        <v>134</v>
      </c>
      <c r="B77" s="18" t="s">
        <v>889</v>
      </c>
      <c r="C77" s="19" t="s">
        <v>710</v>
      </c>
      <c r="D77" s="19" t="s">
        <v>710</v>
      </c>
      <c r="E77" s="19" t="s">
        <v>901</v>
      </c>
      <c r="F77" s="58">
        <v>8</v>
      </c>
      <c r="G77" s="43">
        <v>22</v>
      </c>
      <c r="H77" s="44">
        <v>58.6</v>
      </c>
      <c r="I77" s="44" t="s">
        <v>38</v>
      </c>
      <c r="J77" s="43">
        <v>120</v>
      </c>
      <c r="K77" s="44">
        <v>10.5</v>
      </c>
      <c r="L77" s="44" t="s">
        <v>122</v>
      </c>
      <c r="M77" s="43" t="s">
        <v>96</v>
      </c>
      <c r="N77" s="45">
        <v>0</v>
      </c>
      <c r="O77" s="45">
        <v>3</v>
      </c>
      <c r="P77" s="45">
        <v>1</v>
      </c>
      <c r="Q77" s="45">
        <v>1</v>
      </c>
      <c r="R77" s="46">
        <v>3.95</v>
      </c>
      <c r="S77" s="46">
        <v>4</v>
      </c>
      <c r="T77" s="46">
        <v>295</v>
      </c>
      <c r="U77" s="47">
        <v>2961</v>
      </c>
      <c r="V77" s="23">
        <v>24</v>
      </c>
      <c r="W77" s="38">
        <v>0</v>
      </c>
      <c r="X77" s="38">
        <v>0</v>
      </c>
      <c r="Y77" s="38">
        <v>24</v>
      </c>
      <c r="Z77" s="38">
        <v>0</v>
      </c>
      <c r="AA77" s="44">
        <v>0</v>
      </c>
      <c r="AB77" s="44">
        <f t="shared" ref="AB77" si="57">AA77/24</f>
        <v>0</v>
      </c>
      <c r="AC77" s="52" t="s">
        <v>119</v>
      </c>
      <c r="AD77" s="40">
        <v>238</v>
      </c>
      <c r="AE77" s="40"/>
      <c r="AF77" s="41">
        <v>0</v>
      </c>
      <c r="AG77" s="41">
        <v>0</v>
      </c>
      <c r="AH77" s="38">
        <v>0</v>
      </c>
      <c r="AI77" s="38">
        <v>0</v>
      </c>
      <c r="AJ77" s="38">
        <v>1.1000000000000001</v>
      </c>
      <c r="AK77" s="56">
        <v>0</v>
      </c>
      <c r="AL77" s="24">
        <f t="shared" si="42"/>
        <v>1.1000000000000001</v>
      </c>
      <c r="AM77" s="12"/>
      <c r="AN77" s="12"/>
      <c r="AO77" s="12"/>
      <c r="AP77" s="12"/>
      <c r="AQ77" s="55">
        <f t="shared" si="43"/>
        <v>367.19999999999987</v>
      </c>
      <c r="AR77" s="38"/>
      <c r="AS77" s="38">
        <v>315</v>
      </c>
      <c r="AT77" s="26"/>
      <c r="AU77" s="49"/>
      <c r="AV77" s="136"/>
      <c r="AW77" s="137"/>
    </row>
    <row r="78" spans="1:49" ht="19.399999999999999" customHeight="1">
      <c r="A78" s="18" t="s">
        <v>134</v>
      </c>
      <c r="B78" s="18" t="s">
        <v>889</v>
      </c>
      <c r="C78" s="19" t="s">
        <v>710</v>
      </c>
      <c r="D78" s="19" t="s">
        <v>710</v>
      </c>
      <c r="E78" s="19" t="s">
        <v>902</v>
      </c>
      <c r="F78" s="58">
        <v>8</v>
      </c>
      <c r="G78" s="43">
        <v>22</v>
      </c>
      <c r="H78" s="44">
        <v>58.6</v>
      </c>
      <c r="I78" s="44" t="s">
        <v>38</v>
      </c>
      <c r="J78" s="43">
        <v>120</v>
      </c>
      <c r="K78" s="44">
        <v>10.5</v>
      </c>
      <c r="L78" s="44" t="s">
        <v>122</v>
      </c>
      <c r="M78" s="43" t="s">
        <v>96</v>
      </c>
      <c r="N78" s="45">
        <v>0</v>
      </c>
      <c r="O78" s="45">
        <v>3</v>
      </c>
      <c r="P78" s="45">
        <v>1</v>
      </c>
      <c r="Q78" s="45">
        <v>1</v>
      </c>
      <c r="R78" s="46">
        <v>3.95</v>
      </c>
      <c r="S78" s="46">
        <v>4</v>
      </c>
      <c r="T78" s="46">
        <v>295</v>
      </c>
      <c r="U78" s="47">
        <v>2961</v>
      </c>
      <c r="V78" s="23">
        <v>24</v>
      </c>
      <c r="W78" s="38">
        <v>0</v>
      </c>
      <c r="X78" s="38">
        <v>0</v>
      </c>
      <c r="Y78" s="38">
        <v>24</v>
      </c>
      <c r="Z78" s="38">
        <v>0</v>
      </c>
      <c r="AA78" s="44">
        <v>0</v>
      </c>
      <c r="AB78" s="44">
        <f t="shared" ref="AB78" si="58">AA78/24</f>
        <v>0</v>
      </c>
      <c r="AC78" s="52" t="s">
        <v>119</v>
      </c>
      <c r="AD78" s="40">
        <v>236</v>
      </c>
      <c r="AE78" s="40"/>
      <c r="AF78" s="41">
        <v>0</v>
      </c>
      <c r="AG78" s="40">
        <v>0</v>
      </c>
      <c r="AH78" s="38">
        <v>0</v>
      </c>
      <c r="AI78" s="38">
        <v>0</v>
      </c>
      <c r="AJ78" s="38">
        <v>1.1000000000000001</v>
      </c>
      <c r="AK78" s="38">
        <v>0</v>
      </c>
      <c r="AL78" s="24">
        <f t="shared" si="42"/>
        <v>1.1000000000000001</v>
      </c>
      <c r="AM78" s="38"/>
      <c r="AN78" s="38"/>
      <c r="AO78" s="38"/>
      <c r="AP78" s="38"/>
      <c r="AQ78" s="55">
        <f t="shared" si="43"/>
        <v>366.09999999999985</v>
      </c>
      <c r="AR78" s="38"/>
      <c r="AS78" s="38">
        <v>312</v>
      </c>
      <c r="AT78" s="26"/>
      <c r="AU78" s="49"/>
      <c r="AV78" s="139"/>
      <c r="AW78" s="141"/>
    </row>
    <row r="79" spans="1:49" ht="19.399999999999999" customHeight="1">
      <c r="A79" s="18" t="s">
        <v>134</v>
      </c>
      <c r="B79" s="18" t="s">
        <v>909</v>
      </c>
      <c r="C79" s="19" t="s">
        <v>710</v>
      </c>
      <c r="D79" s="19" t="s">
        <v>368</v>
      </c>
      <c r="E79" s="19" t="s">
        <v>903</v>
      </c>
      <c r="F79" s="58">
        <v>8</v>
      </c>
      <c r="G79" s="43">
        <v>22</v>
      </c>
      <c r="H79" s="44">
        <v>19.399999999999999</v>
      </c>
      <c r="I79" s="44" t="s">
        <v>38</v>
      </c>
      <c r="J79" s="43">
        <v>119</v>
      </c>
      <c r="K79" s="44">
        <v>57.7</v>
      </c>
      <c r="L79" s="44" t="s">
        <v>122</v>
      </c>
      <c r="M79" s="43" t="s">
        <v>96</v>
      </c>
      <c r="N79" s="45">
        <v>3</v>
      </c>
      <c r="O79" s="45">
        <v>7</v>
      </c>
      <c r="P79" s="45">
        <v>5</v>
      </c>
      <c r="Q79" s="45">
        <v>3</v>
      </c>
      <c r="R79" s="46">
        <v>4.09</v>
      </c>
      <c r="S79" s="46">
        <v>4.2699999999999996</v>
      </c>
      <c r="T79" s="46">
        <v>309</v>
      </c>
      <c r="U79" s="47">
        <v>3117</v>
      </c>
      <c r="V79" s="23">
        <v>24</v>
      </c>
      <c r="W79" s="38">
        <v>3.4</v>
      </c>
      <c r="X79" s="38">
        <v>0.6</v>
      </c>
      <c r="Y79" s="38">
        <v>20</v>
      </c>
      <c r="Z79" s="38">
        <v>0</v>
      </c>
      <c r="AA79" s="44">
        <v>28.9</v>
      </c>
      <c r="AB79" s="44">
        <f t="shared" ref="AB79" si="59">AA79/24</f>
        <v>1.2041666666666666</v>
      </c>
      <c r="AC79" s="52" t="s">
        <v>126</v>
      </c>
      <c r="AD79" s="40" t="s">
        <v>904</v>
      </c>
      <c r="AE79" s="40"/>
      <c r="AF79" s="41" t="s">
        <v>905</v>
      </c>
      <c r="AG79" s="41" t="s">
        <v>906</v>
      </c>
      <c r="AH79" s="38">
        <v>0.5</v>
      </c>
      <c r="AI79" s="38">
        <v>0.2</v>
      </c>
      <c r="AJ79" s="38">
        <v>1.2</v>
      </c>
      <c r="AK79" s="38">
        <v>0</v>
      </c>
      <c r="AL79" s="24">
        <f t="shared" si="42"/>
        <v>1.9</v>
      </c>
      <c r="AM79" s="12"/>
      <c r="AN79" s="12"/>
      <c r="AO79" s="12"/>
      <c r="AP79" s="12"/>
      <c r="AQ79" s="55">
        <f t="shared" si="43"/>
        <v>364.19999999999987</v>
      </c>
      <c r="AR79" s="38"/>
      <c r="AS79" s="38">
        <v>305</v>
      </c>
      <c r="AT79" s="26"/>
      <c r="AU79" s="49"/>
      <c r="AV79" s="139"/>
      <c r="AW79" s="141"/>
    </row>
    <row r="80" spans="1:49" ht="19.399999999999999" customHeight="1">
      <c r="A80" s="18" t="s">
        <v>134</v>
      </c>
      <c r="B80" s="18" t="s">
        <v>909</v>
      </c>
      <c r="C80" s="19" t="s">
        <v>710</v>
      </c>
      <c r="D80" s="19" t="s">
        <v>368</v>
      </c>
      <c r="E80" s="19" t="s">
        <v>908</v>
      </c>
      <c r="F80" s="58">
        <v>8</v>
      </c>
      <c r="G80" s="43">
        <v>25</v>
      </c>
      <c r="H80" s="44">
        <v>7.5</v>
      </c>
      <c r="I80" s="44" t="s">
        <v>38</v>
      </c>
      <c r="J80" s="43">
        <v>121</v>
      </c>
      <c r="K80" s="44">
        <v>5.4</v>
      </c>
      <c r="L80" s="44" t="s">
        <v>122</v>
      </c>
      <c r="M80" s="43" t="s">
        <v>96</v>
      </c>
      <c r="N80" s="45">
        <v>3</v>
      </c>
      <c r="O80" s="45">
        <v>6</v>
      </c>
      <c r="P80" s="45">
        <v>5</v>
      </c>
      <c r="Q80" s="45">
        <v>3</v>
      </c>
      <c r="R80" s="46">
        <v>4.09</v>
      </c>
      <c r="S80" s="46">
        <v>4.2699999999999996</v>
      </c>
      <c r="T80" s="46">
        <v>309</v>
      </c>
      <c r="U80" s="47">
        <v>3117</v>
      </c>
      <c r="V80" s="23">
        <v>24</v>
      </c>
      <c r="W80" s="38">
        <v>24</v>
      </c>
      <c r="X80" s="38">
        <v>0</v>
      </c>
      <c r="Y80" s="38">
        <v>0</v>
      </c>
      <c r="Z80" s="38">
        <v>0</v>
      </c>
      <c r="AA80" s="44">
        <v>131.80000000000001</v>
      </c>
      <c r="AB80" s="44">
        <f t="shared" ref="AB80" si="60">AA80/24</f>
        <v>5.4916666666666671</v>
      </c>
      <c r="AC80" s="52" t="s">
        <v>126</v>
      </c>
      <c r="AD80" s="40" t="s">
        <v>907</v>
      </c>
      <c r="AE80" s="40"/>
      <c r="AF80" s="41" t="s">
        <v>147</v>
      </c>
      <c r="AG80" s="40" t="s">
        <v>142</v>
      </c>
      <c r="AH80" s="38">
        <v>5.0999999999999996</v>
      </c>
      <c r="AI80" s="38">
        <v>0</v>
      </c>
      <c r="AJ80" s="38">
        <v>0</v>
      </c>
      <c r="AK80" s="38">
        <v>0</v>
      </c>
      <c r="AL80" s="24">
        <f t="shared" si="42"/>
        <v>5.0999999999999996</v>
      </c>
      <c r="AM80" s="12"/>
      <c r="AN80" s="12"/>
      <c r="AO80" s="12"/>
      <c r="AP80" s="12"/>
      <c r="AQ80" s="55">
        <f t="shared" si="43"/>
        <v>359.09999999999985</v>
      </c>
      <c r="AR80" s="38"/>
      <c r="AS80" s="38">
        <v>300</v>
      </c>
      <c r="AT80" s="26"/>
      <c r="AU80" s="49"/>
      <c r="AV80" s="139"/>
      <c r="AW80" s="141"/>
    </row>
    <row r="81" spans="1:49" ht="19.399999999999999" customHeight="1">
      <c r="A81" s="18" t="s">
        <v>134</v>
      </c>
      <c r="B81" s="18" t="s">
        <v>909</v>
      </c>
      <c r="C81" s="19" t="s">
        <v>710</v>
      </c>
      <c r="D81" s="19" t="s">
        <v>368</v>
      </c>
      <c r="E81" s="19" t="s">
        <v>913</v>
      </c>
      <c r="F81" s="58">
        <v>8</v>
      </c>
      <c r="G81" s="43">
        <v>25</v>
      </c>
      <c r="H81" s="44">
        <v>30.1</v>
      </c>
      <c r="I81" s="44" t="s">
        <v>38</v>
      </c>
      <c r="J81" s="43">
        <v>122</v>
      </c>
      <c r="K81" s="44">
        <v>12.1</v>
      </c>
      <c r="L81" s="44" t="s">
        <v>122</v>
      </c>
      <c r="M81" s="43" t="s">
        <v>96</v>
      </c>
      <c r="N81" s="45">
        <v>3</v>
      </c>
      <c r="O81" s="45">
        <v>6</v>
      </c>
      <c r="P81" s="45">
        <v>5</v>
      </c>
      <c r="Q81" s="45">
        <v>3</v>
      </c>
      <c r="R81" s="46">
        <v>4.09</v>
      </c>
      <c r="S81" s="46">
        <v>4.2699999999999996</v>
      </c>
      <c r="T81" s="46">
        <v>309</v>
      </c>
      <c r="U81" s="47">
        <v>3117</v>
      </c>
      <c r="V81" s="23">
        <v>24</v>
      </c>
      <c r="W81" s="38">
        <v>9.8000000000000007</v>
      </c>
      <c r="X81" s="38">
        <v>14.2</v>
      </c>
      <c r="Y81" s="38">
        <v>0</v>
      </c>
      <c r="Z81" s="38">
        <v>0</v>
      </c>
      <c r="AA81" s="44">
        <v>125.7</v>
      </c>
      <c r="AB81" s="44">
        <f t="shared" ref="AB81" si="61">AA81/24</f>
        <v>5.2374999999999998</v>
      </c>
      <c r="AC81" s="52" t="s">
        <v>126</v>
      </c>
      <c r="AD81" s="40" t="s">
        <v>910</v>
      </c>
      <c r="AE81" s="40"/>
      <c r="AF81" s="41" t="s">
        <v>911</v>
      </c>
      <c r="AG81" s="40" t="s">
        <v>912</v>
      </c>
      <c r="AH81" s="38">
        <v>2.5</v>
      </c>
      <c r="AI81" s="38">
        <v>2.5</v>
      </c>
      <c r="AJ81" s="38">
        <v>0</v>
      </c>
      <c r="AK81" s="38">
        <v>0</v>
      </c>
      <c r="AL81" s="24">
        <f t="shared" si="42"/>
        <v>5</v>
      </c>
      <c r="AM81" s="12"/>
      <c r="AN81" s="12"/>
      <c r="AO81" s="12"/>
      <c r="AP81" s="12"/>
      <c r="AQ81" s="55">
        <f t="shared" si="43"/>
        <v>354.09999999999985</v>
      </c>
      <c r="AR81" s="38"/>
      <c r="AS81" s="38">
        <v>291</v>
      </c>
      <c r="AT81" s="26"/>
      <c r="AU81" s="49"/>
      <c r="AV81" s="139"/>
      <c r="AW81" s="141"/>
    </row>
    <row r="82" spans="1:49" ht="19.399999999999999" customHeight="1">
      <c r="A82" s="18" t="s">
        <v>134</v>
      </c>
      <c r="B82" s="18" t="s">
        <v>909</v>
      </c>
      <c r="C82" s="19" t="s">
        <v>710</v>
      </c>
      <c r="D82" s="19" t="s">
        <v>368</v>
      </c>
      <c r="E82" s="19" t="s">
        <v>916</v>
      </c>
      <c r="F82" s="58">
        <v>8</v>
      </c>
      <c r="G82" s="43">
        <v>25</v>
      </c>
      <c r="H82" s="44">
        <v>31.2</v>
      </c>
      <c r="I82" s="44" t="s">
        <v>38</v>
      </c>
      <c r="J82" s="43">
        <v>122</v>
      </c>
      <c r="K82" s="44">
        <v>6.7</v>
      </c>
      <c r="L82" s="44" t="s">
        <v>122</v>
      </c>
      <c r="M82" s="43" t="s">
        <v>96</v>
      </c>
      <c r="N82" s="45">
        <v>3</v>
      </c>
      <c r="O82" s="45">
        <v>6</v>
      </c>
      <c r="P82" s="45">
        <v>4</v>
      </c>
      <c r="Q82" s="45">
        <v>3</v>
      </c>
      <c r="R82" s="46">
        <v>4.09</v>
      </c>
      <c r="S82" s="46">
        <v>4.2699999999999996</v>
      </c>
      <c r="T82" s="46">
        <v>309</v>
      </c>
      <c r="U82" s="47">
        <v>3117</v>
      </c>
      <c r="V82" s="23">
        <v>24</v>
      </c>
      <c r="W82" s="38">
        <v>0</v>
      </c>
      <c r="X82" s="38">
        <v>24</v>
      </c>
      <c r="Y82" s="38">
        <v>0</v>
      </c>
      <c r="Z82" s="38">
        <v>0</v>
      </c>
      <c r="AA82" s="44">
        <v>13.6</v>
      </c>
      <c r="AB82" s="44">
        <f t="shared" ref="AB82" si="62">AA82/24</f>
        <v>0.56666666666666665</v>
      </c>
      <c r="AC82" s="52" t="s">
        <v>126</v>
      </c>
      <c r="AD82" s="40" t="s">
        <v>914</v>
      </c>
      <c r="AE82" s="40"/>
      <c r="AF82" s="41" t="s">
        <v>138</v>
      </c>
      <c r="AG82" s="40" t="s">
        <v>915</v>
      </c>
      <c r="AH82" s="38">
        <v>0</v>
      </c>
      <c r="AI82" s="38">
        <v>3.5</v>
      </c>
      <c r="AJ82" s="38">
        <v>0</v>
      </c>
      <c r="AK82" s="38">
        <v>0</v>
      </c>
      <c r="AL82" s="24">
        <f t="shared" si="42"/>
        <v>3.5</v>
      </c>
      <c r="AM82" s="12"/>
      <c r="AN82" s="12"/>
      <c r="AO82" s="12"/>
      <c r="AP82" s="12"/>
      <c r="AQ82" s="55">
        <f t="shared" si="43"/>
        <v>350.59999999999985</v>
      </c>
      <c r="AR82" s="38"/>
      <c r="AS82" s="38">
        <v>282</v>
      </c>
      <c r="AT82" s="26"/>
      <c r="AU82" s="49"/>
      <c r="AV82" s="139"/>
      <c r="AW82" s="141"/>
    </row>
    <row r="83" spans="1:49" ht="19.399999999999999" customHeight="1">
      <c r="A83" s="18" t="s">
        <v>134</v>
      </c>
      <c r="B83" s="18" t="s">
        <v>909</v>
      </c>
      <c r="C83" s="19" t="s">
        <v>710</v>
      </c>
      <c r="D83" s="19" t="s">
        <v>368</v>
      </c>
      <c r="E83" s="19" t="s">
        <v>919</v>
      </c>
      <c r="F83" s="58">
        <v>8</v>
      </c>
      <c r="G83" s="43">
        <v>25</v>
      </c>
      <c r="H83" s="44">
        <v>30.3</v>
      </c>
      <c r="I83" s="44" t="s">
        <v>38</v>
      </c>
      <c r="J83" s="43">
        <v>122</v>
      </c>
      <c r="K83" s="44">
        <v>18.8</v>
      </c>
      <c r="L83" s="44" t="s">
        <v>122</v>
      </c>
      <c r="M83" s="43" t="s">
        <v>96</v>
      </c>
      <c r="N83" s="45">
        <v>4</v>
      </c>
      <c r="O83" s="45">
        <v>5</v>
      </c>
      <c r="P83" s="45">
        <v>4</v>
      </c>
      <c r="Q83" s="45">
        <v>2</v>
      </c>
      <c r="R83" s="46">
        <v>4.09</v>
      </c>
      <c r="S83" s="46">
        <v>4.2699999999999996</v>
      </c>
      <c r="T83" s="46">
        <v>309</v>
      </c>
      <c r="U83" s="47">
        <v>3117</v>
      </c>
      <c r="V83" s="23">
        <v>24</v>
      </c>
      <c r="W83" s="38">
        <v>0</v>
      </c>
      <c r="X83" s="38">
        <v>24</v>
      </c>
      <c r="Y83" s="38">
        <v>0</v>
      </c>
      <c r="Z83" s="38">
        <v>0</v>
      </c>
      <c r="AA83" s="44">
        <v>16.3</v>
      </c>
      <c r="AB83" s="44">
        <f t="shared" ref="AB83" si="63">AA83/24</f>
        <v>0.6791666666666667</v>
      </c>
      <c r="AC83" s="52" t="s">
        <v>126</v>
      </c>
      <c r="AD83" s="40" t="s">
        <v>917</v>
      </c>
      <c r="AE83" s="40"/>
      <c r="AF83" s="41" t="s">
        <v>918</v>
      </c>
      <c r="AG83" s="40" t="s">
        <v>520</v>
      </c>
      <c r="AH83" s="38">
        <v>0</v>
      </c>
      <c r="AI83" s="38">
        <v>3.5</v>
      </c>
      <c r="AJ83" s="38">
        <v>0</v>
      </c>
      <c r="AK83" s="38">
        <v>0</v>
      </c>
      <c r="AL83" s="24">
        <f t="shared" si="42"/>
        <v>3.5</v>
      </c>
      <c r="AM83" s="12"/>
      <c r="AN83" s="12"/>
      <c r="AO83" s="12"/>
      <c r="AP83" s="12"/>
      <c r="AQ83" s="55">
        <f t="shared" si="43"/>
        <v>347.09999999999985</v>
      </c>
      <c r="AR83" s="38"/>
      <c r="AS83" s="38">
        <v>277</v>
      </c>
      <c r="AT83" s="26"/>
      <c r="AU83" s="49"/>
      <c r="AV83" s="139"/>
      <c r="AW83" s="141"/>
    </row>
    <row r="84" spans="1:49" ht="19.399999999999999" customHeight="1">
      <c r="A84" s="18" t="s">
        <v>134</v>
      </c>
      <c r="B84" s="18" t="s">
        <v>909</v>
      </c>
      <c r="C84" s="19" t="s">
        <v>710</v>
      </c>
      <c r="D84" s="19" t="s">
        <v>368</v>
      </c>
      <c r="E84" s="19" t="s">
        <v>922</v>
      </c>
      <c r="F84" s="58">
        <v>8</v>
      </c>
      <c r="G84" s="43">
        <v>25</v>
      </c>
      <c r="H84" s="44">
        <v>22.8</v>
      </c>
      <c r="I84" s="44" t="s">
        <v>38</v>
      </c>
      <c r="J84" s="43">
        <v>122</v>
      </c>
      <c r="K84" s="44">
        <v>7.3</v>
      </c>
      <c r="L84" s="44" t="s">
        <v>122</v>
      </c>
      <c r="M84" s="43" t="s">
        <v>96</v>
      </c>
      <c r="N84" s="45">
        <v>5</v>
      </c>
      <c r="O84" s="45">
        <v>4</v>
      </c>
      <c r="P84" s="45">
        <v>3</v>
      </c>
      <c r="Q84" s="45">
        <v>2</v>
      </c>
      <c r="R84" s="46">
        <v>4.09</v>
      </c>
      <c r="S84" s="46">
        <v>4.2699999999999996</v>
      </c>
      <c r="T84" s="46">
        <v>309</v>
      </c>
      <c r="U84" s="47">
        <v>3117</v>
      </c>
      <c r="V84" s="23">
        <v>24</v>
      </c>
      <c r="W84" s="38">
        <v>0</v>
      </c>
      <c r="X84" s="38">
        <v>24</v>
      </c>
      <c r="Y84" s="38">
        <v>0</v>
      </c>
      <c r="Z84" s="38">
        <v>0</v>
      </c>
      <c r="AA84" s="44">
        <v>79.400000000000006</v>
      </c>
      <c r="AB84" s="44">
        <f t="shared" ref="AB84" si="64">AA84/24</f>
        <v>3.3083333333333336</v>
      </c>
      <c r="AC84" s="52" t="s">
        <v>126</v>
      </c>
      <c r="AD84" s="40" t="s">
        <v>920</v>
      </c>
      <c r="AE84" s="40"/>
      <c r="AF84" s="41" t="s">
        <v>921</v>
      </c>
      <c r="AG84" s="40" t="s">
        <v>151</v>
      </c>
      <c r="AH84" s="38">
        <v>0</v>
      </c>
      <c r="AI84" s="38">
        <v>4.0999999999999996</v>
      </c>
      <c r="AJ84" s="38">
        <v>0</v>
      </c>
      <c r="AK84" s="38">
        <v>0</v>
      </c>
      <c r="AL84" s="24">
        <f t="shared" si="42"/>
        <v>4.0999999999999996</v>
      </c>
      <c r="AM84" s="12"/>
      <c r="AN84" s="12"/>
      <c r="AO84" s="12"/>
      <c r="AP84" s="12"/>
      <c r="AQ84" s="55">
        <f t="shared" si="43"/>
        <v>342.99999999999983</v>
      </c>
      <c r="AR84" s="38"/>
      <c r="AS84" s="38">
        <v>270</v>
      </c>
      <c r="AT84" s="26"/>
      <c r="AU84" s="49"/>
      <c r="AV84" s="139"/>
      <c r="AW84" s="141"/>
    </row>
    <row r="85" spans="1:49" ht="19.399999999999999" customHeight="1">
      <c r="A85" s="18" t="s">
        <v>134</v>
      </c>
      <c r="B85" s="18" t="s">
        <v>909</v>
      </c>
      <c r="C85" s="19" t="s">
        <v>710</v>
      </c>
      <c r="D85" s="19" t="s">
        <v>368</v>
      </c>
      <c r="E85" s="19" t="s">
        <v>925</v>
      </c>
      <c r="F85" s="58">
        <v>8</v>
      </c>
      <c r="G85" s="43">
        <v>25</v>
      </c>
      <c r="H85" s="44">
        <v>11.9</v>
      </c>
      <c r="I85" s="44" t="s">
        <v>38</v>
      </c>
      <c r="J85" s="43">
        <v>122</v>
      </c>
      <c r="K85" s="44">
        <v>13.5</v>
      </c>
      <c r="L85" s="44" t="s">
        <v>122</v>
      </c>
      <c r="M85" s="43" t="s">
        <v>96</v>
      </c>
      <c r="N85" s="45">
        <v>5</v>
      </c>
      <c r="O85" s="45">
        <v>4</v>
      </c>
      <c r="P85" s="45">
        <v>3</v>
      </c>
      <c r="Q85" s="45">
        <v>2</v>
      </c>
      <c r="R85" s="46">
        <v>4.09</v>
      </c>
      <c r="S85" s="46">
        <v>4.2699999999999996</v>
      </c>
      <c r="T85" s="46">
        <v>309</v>
      </c>
      <c r="U85" s="47">
        <v>3117</v>
      </c>
      <c r="V85" s="23">
        <v>24</v>
      </c>
      <c r="W85" s="38">
        <v>0</v>
      </c>
      <c r="X85" s="38">
        <v>24</v>
      </c>
      <c r="Y85" s="38">
        <v>0</v>
      </c>
      <c r="Z85" s="38">
        <v>0</v>
      </c>
      <c r="AA85" s="44">
        <v>78.2</v>
      </c>
      <c r="AB85" s="44">
        <f t="shared" ref="AB85" si="65">AA85/24</f>
        <v>3.2583333333333333</v>
      </c>
      <c r="AC85" s="52" t="s">
        <v>126</v>
      </c>
      <c r="AD85" s="40" t="s">
        <v>923</v>
      </c>
      <c r="AE85" s="40"/>
      <c r="AF85" s="40" t="s">
        <v>924</v>
      </c>
      <c r="AG85" s="41" t="s">
        <v>520</v>
      </c>
      <c r="AH85" s="38">
        <v>0</v>
      </c>
      <c r="AI85" s="38">
        <v>3.7</v>
      </c>
      <c r="AJ85" s="38">
        <v>0</v>
      </c>
      <c r="AK85" s="38">
        <v>0</v>
      </c>
      <c r="AL85" s="24">
        <f t="shared" si="42"/>
        <v>3.7</v>
      </c>
      <c r="AM85" s="12"/>
      <c r="AN85" s="12"/>
      <c r="AO85" s="12"/>
      <c r="AP85" s="12"/>
      <c r="AQ85" s="55">
        <f t="shared" si="43"/>
        <v>339.29999999999984</v>
      </c>
      <c r="AR85" s="38"/>
      <c r="AS85" s="38">
        <v>259</v>
      </c>
      <c r="AT85" s="26"/>
      <c r="AU85" s="49"/>
      <c r="AV85" s="139"/>
      <c r="AW85" s="141"/>
    </row>
    <row r="86" spans="1:49" ht="19.399999999999999" customHeight="1">
      <c r="A86" s="18" t="s">
        <v>134</v>
      </c>
      <c r="B86" s="18" t="s">
        <v>909</v>
      </c>
      <c r="C86" s="19" t="s">
        <v>710</v>
      </c>
      <c r="D86" s="19" t="s">
        <v>368</v>
      </c>
      <c r="E86" s="19" t="s">
        <v>929</v>
      </c>
      <c r="F86" s="58">
        <v>8</v>
      </c>
      <c r="G86" s="43">
        <v>25</v>
      </c>
      <c r="H86" s="44">
        <v>24.6</v>
      </c>
      <c r="I86" s="44" t="s">
        <v>38</v>
      </c>
      <c r="J86" s="43">
        <v>122</v>
      </c>
      <c r="K86" s="44">
        <v>23.3</v>
      </c>
      <c r="L86" s="44" t="s">
        <v>122</v>
      </c>
      <c r="M86" s="43" t="s">
        <v>96</v>
      </c>
      <c r="N86" s="45">
        <v>6</v>
      </c>
      <c r="O86" s="45">
        <v>4</v>
      </c>
      <c r="P86" s="45">
        <v>3</v>
      </c>
      <c r="Q86" s="45">
        <v>2</v>
      </c>
      <c r="R86" s="46">
        <v>4.09</v>
      </c>
      <c r="S86" s="46">
        <v>4.2699999999999996</v>
      </c>
      <c r="T86" s="46">
        <v>309</v>
      </c>
      <c r="U86" s="47">
        <v>3117</v>
      </c>
      <c r="V86" s="23">
        <v>24</v>
      </c>
      <c r="W86" s="38">
        <v>0</v>
      </c>
      <c r="X86" s="38">
        <v>24</v>
      </c>
      <c r="Y86" s="38">
        <v>0</v>
      </c>
      <c r="Z86" s="38">
        <v>0</v>
      </c>
      <c r="AA86" s="44">
        <v>88.7</v>
      </c>
      <c r="AB86" s="44">
        <f t="shared" ref="AB86" si="66">AA86/24</f>
        <v>3.6958333333333333</v>
      </c>
      <c r="AC86" s="52" t="s">
        <v>125</v>
      </c>
      <c r="AD86" s="40" t="s">
        <v>928</v>
      </c>
      <c r="AE86" s="40"/>
      <c r="AF86" s="40" t="s">
        <v>926</v>
      </c>
      <c r="AG86" s="41" t="s">
        <v>927</v>
      </c>
      <c r="AH86" s="38">
        <v>0</v>
      </c>
      <c r="AI86" s="38">
        <v>3.9</v>
      </c>
      <c r="AJ86" s="38">
        <v>0</v>
      </c>
      <c r="AK86" s="38">
        <v>0</v>
      </c>
      <c r="AL86" s="24">
        <f t="shared" si="42"/>
        <v>3.9</v>
      </c>
      <c r="AM86" s="12"/>
      <c r="AN86" s="12"/>
      <c r="AO86" s="12"/>
      <c r="AP86" s="12"/>
      <c r="AQ86" s="55">
        <f t="shared" si="43"/>
        <v>335.39999999999986</v>
      </c>
      <c r="AR86" s="38"/>
      <c r="AS86" s="38">
        <v>250</v>
      </c>
      <c r="AT86" s="26"/>
      <c r="AU86" s="49"/>
      <c r="AV86" s="139"/>
      <c r="AW86" s="141"/>
    </row>
    <row r="87" spans="1:49" ht="19.399999999999999" customHeight="1">
      <c r="A87" s="18" t="s">
        <v>134</v>
      </c>
      <c r="B87" s="18" t="s">
        <v>909</v>
      </c>
      <c r="C87" s="19" t="s">
        <v>710</v>
      </c>
      <c r="D87" s="19" t="s">
        <v>368</v>
      </c>
      <c r="E87" s="19" t="s">
        <v>932</v>
      </c>
      <c r="F87" s="58">
        <v>8</v>
      </c>
      <c r="G87" s="43">
        <v>25</v>
      </c>
      <c r="H87" s="44">
        <v>32.200000000000003</v>
      </c>
      <c r="I87" s="44" t="s">
        <v>38</v>
      </c>
      <c r="J87" s="43">
        <v>122</v>
      </c>
      <c r="K87" s="44">
        <v>23</v>
      </c>
      <c r="L87" s="44" t="s">
        <v>122</v>
      </c>
      <c r="M87" s="43" t="s">
        <v>96</v>
      </c>
      <c r="N87" s="45">
        <v>7</v>
      </c>
      <c r="O87" s="45">
        <v>5</v>
      </c>
      <c r="P87" s="45">
        <v>3</v>
      </c>
      <c r="Q87" s="45">
        <v>2</v>
      </c>
      <c r="R87" s="46">
        <v>4.09</v>
      </c>
      <c r="S87" s="46">
        <v>4.2699999999999996</v>
      </c>
      <c r="T87" s="46">
        <v>309</v>
      </c>
      <c r="U87" s="47">
        <v>3117</v>
      </c>
      <c r="V87" s="23">
        <v>24</v>
      </c>
      <c r="W87" s="38">
        <v>0</v>
      </c>
      <c r="X87" s="38">
        <v>24</v>
      </c>
      <c r="Y87" s="38">
        <v>0</v>
      </c>
      <c r="Z87" s="38">
        <v>0</v>
      </c>
      <c r="AA87" s="44">
        <v>96.1</v>
      </c>
      <c r="AB87" s="44">
        <f t="shared" ref="AB87" si="67">AA87/24</f>
        <v>4.0041666666666664</v>
      </c>
      <c r="AC87" s="52" t="s">
        <v>125</v>
      </c>
      <c r="AD87" s="19" t="s">
        <v>930</v>
      </c>
      <c r="AE87" s="40"/>
      <c r="AF87" s="40" t="s">
        <v>121</v>
      </c>
      <c r="AG87" s="41" t="s">
        <v>931</v>
      </c>
      <c r="AH87" s="38">
        <v>0</v>
      </c>
      <c r="AI87" s="38">
        <v>3.8</v>
      </c>
      <c r="AJ87" s="38">
        <v>0</v>
      </c>
      <c r="AK87" s="38">
        <v>0</v>
      </c>
      <c r="AL87" s="24">
        <f t="shared" si="42"/>
        <v>3.8</v>
      </c>
      <c r="AM87" s="12"/>
      <c r="AN87" s="12"/>
      <c r="AO87" s="12"/>
      <c r="AP87" s="12"/>
      <c r="AQ87" s="55">
        <f t="shared" si="43"/>
        <v>331.59999999999985</v>
      </c>
      <c r="AR87" s="38"/>
      <c r="AS87" s="38">
        <v>241</v>
      </c>
      <c r="AT87" s="26"/>
      <c r="AU87" s="49"/>
      <c r="AV87" s="139"/>
      <c r="AW87" s="141"/>
    </row>
    <row r="88" spans="1:49" ht="19.399999999999999" customHeight="1">
      <c r="A88" s="18" t="s">
        <v>134</v>
      </c>
      <c r="B88" s="18" t="s">
        <v>909</v>
      </c>
      <c r="C88" s="19" t="s">
        <v>710</v>
      </c>
      <c r="D88" s="19" t="s">
        <v>368</v>
      </c>
      <c r="E88" s="19" t="s">
        <v>934</v>
      </c>
      <c r="F88" s="58">
        <v>8</v>
      </c>
      <c r="G88" s="43">
        <v>25</v>
      </c>
      <c r="H88" s="44">
        <v>18.7</v>
      </c>
      <c r="I88" s="44" t="s">
        <v>38</v>
      </c>
      <c r="J88" s="43">
        <v>122</v>
      </c>
      <c r="K88" s="44">
        <v>5.0999999999999996</v>
      </c>
      <c r="L88" s="44" t="s">
        <v>122</v>
      </c>
      <c r="M88" s="43" t="s">
        <v>935</v>
      </c>
      <c r="N88" s="45">
        <v>7</v>
      </c>
      <c r="O88" s="45">
        <v>5</v>
      </c>
      <c r="P88" s="45">
        <v>4</v>
      </c>
      <c r="Q88" s="45">
        <v>3</v>
      </c>
      <c r="R88" s="46">
        <v>4.09</v>
      </c>
      <c r="S88" s="46">
        <v>4.2699999999999996</v>
      </c>
      <c r="T88" s="46">
        <v>309</v>
      </c>
      <c r="U88" s="47">
        <v>3117</v>
      </c>
      <c r="V88" s="23">
        <v>24</v>
      </c>
      <c r="W88" s="38">
        <v>0</v>
      </c>
      <c r="X88" s="38">
        <v>24</v>
      </c>
      <c r="Y88" s="38">
        <v>0</v>
      </c>
      <c r="Z88" s="38">
        <v>0</v>
      </c>
      <c r="AA88" s="44">
        <v>72.3</v>
      </c>
      <c r="AB88" s="44">
        <f t="shared" ref="AB88" si="68">AA88/24</f>
        <v>3.0124999999999997</v>
      </c>
      <c r="AC88" s="52" t="s">
        <v>125</v>
      </c>
      <c r="AD88" s="19" t="s">
        <v>933</v>
      </c>
      <c r="AE88" s="40"/>
      <c r="AF88" s="40" t="s">
        <v>259</v>
      </c>
      <c r="AG88" s="41" t="s">
        <v>120</v>
      </c>
      <c r="AH88" s="38">
        <v>0</v>
      </c>
      <c r="AI88" s="38">
        <v>3.5</v>
      </c>
      <c r="AJ88" s="38">
        <v>0</v>
      </c>
      <c r="AK88" s="38">
        <v>0</v>
      </c>
      <c r="AL88" s="24">
        <f t="shared" si="42"/>
        <v>3.5</v>
      </c>
      <c r="AM88" s="12"/>
      <c r="AN88" s="12"/>
      <c r="AO88" s="12"/>
      <c r="AP88" s="12"/>
      <c r="AQ88" s="55">
        <f t="shared" si="43"/>
        <v>328.09999999999985</v>
      </c>
      <c r="AR88" s="38"/>
      <c r="AS88" s="38">
        <v>230</v>
      </c>
      <c r="AT88" s="26"/>
      <c r="AU88" s="49"/>
      <c r="AV88" s="139"/>
      <c r="AW88" s="141"/>
    </row>
    <row r="89" spans="1:49" ht="19.399999999999999" customHeight="1">
      <c r="A89" s="18" t="s">
        <v>134</v>
      </c>
      <c r="B89" s="18" t="s">
        <v>909</v>
      </c>
      <c r="C89" s="19" t="s">
        <v>710</v>
      </c>
      <c r="D89" s="19" t="s">
        <v>368</v>
      </c>
      <c r="E89" s="19" t="s">
        <v>939</v>
      </c>
      <c r="F89" s="58">
        <v>8</v>
      </c>
      <c r="G89" s="43">
        <v>25</v>
      </c>
      <c r="H89" s="44">
        <v>6.7</v>
      </c>
      <c r="I89" s="44" t="s">
        <v>38</v>
      </c>
      <c r="J89" s="43">
        <v>122</v>
      </c>
      <c r="K89" s="44">
        <v>9.3000000000000007</v>
      </c>
      <c r="L89" s="44" t="s">
        <v>122</v>
      </c>
      <c r="M89" s="43" t="s">
        <v>117</v>
      </c>
      <c r="N89" s="45">
        <v>4</v>
      </c>
      <c r="O89" s="45">
        <v>4</v>
      </c>
      <c r="P89" s="45">
        <v>3</v>
      </c>
      <c r="Q89" s="45">
        <v>2</v>
      </c>
      <c r="R89" s="46">
        <v>4.09</v>
      </c>
      <c r="S89" s="46">
        <v>4.2699999999999996</v>
      </c>
      <c r="T89" s="46">
        <v>309</v>
      </c>
      <c r="U89" s="47">
        <v>3117</v>
      </c>
      <c r="V89" s="23">
        <v>24</v>
      </c>
      <c r="W89" s="38">
        <v>0</v>
      </c>
      <c r="X89" s="38">
        <v>24</v>
      </c>
      <c r="Y89" s="38">
        <v>0</v>
      </c>
      <c r="Z89" s="38">
        <v>0</v>
      </c>
      <c r="AA89" s="44">
        <v>51.5</v>
      </c>
      <c r="AB89" s="44">
        <f t="shared" ref="AB89" si="69">AA89/24</f>
        <v>2.1458333333333335</v>
      </c>
      <c r="AC89" s="52" t="s">
        <v>125</v>
      </c>
      <c r="AD89" s="19" t="s">
        <v>936</v>
      </c>
      <c r="AE89" s="40"/>
      <c r="AF89" s="41" t="s">
        <v>937</v>
      </c>
      <c r="AG89" s="40" t="s">
        <v>938</v>
      </c>
      <c r="AH89" s="38">
        <v>0</v>
      </c>
      <c r="AI89" s="38">
        <v>3.1</v>
      </c>
      <c r="AJ89" s="38">
        <v>0</v>
      </c>
      <c r="AK89" s="21">
        <v>0</v>
      </c>
      <c r="AL89" s="24">
        <f t="shared" si="42"/>
        <v>3.1</v>
      </c>
      <c r="AM89" s="12"/>
      <c r="AN89" s="12"/>
      <c r="AO89" s="12"/>
      <c r="AP89" s="12"/>
      <c r="AQ89" s="55">
        <f t="shared" si="43"/>
        <v>324.99999999999983</v>
      </c>
      <c r="AR89" s="38"/>
      <c r="AS89" s="38">
        <v>222</v>
      </c>
      <c r="AT89" s="26"/>
      <c r="AU89" s="49"/>
      <c r="AV89" s="139"/>
      <c r="AW89" s="141"/>
    </row>
    <row r="90" spans="1:49" ht="19.399999999999999" customHeight="1">
      <c r="A90" s="18" t="s">
        <v>134</v>
      </c>
      <c r="B90" s="18" t="s">
        <v>909</v>
      </c>
      <c r="C90" s="19" t="s">
        <v>710</v>
      </c>
      <c r="D90" s="19" t="s">
        <v>368</v>
      </c>
      <c r="E90" s="19" t="s">
        <v>944</v>
      </c>
      <c r="F90" s="58">
        <v>8</v>
      </c>
      <c r="G90" s="43">
        <v>25</v>
      </c>
      <c r="H90" s="44">
        <v>14.1</v>
      </c>
      <c r="I90" s="44" t="s">
        <v>38</v>
      </c>
      <c r="J90" s="43">
        <v>122</v>
      </c>
      <c r="K90" s="44">
        <v>3.9</v>
      </c>
      <c r="L90" s="44" t="s">
        <v>122</v>
      </c>
      <c r="M90" s="43" t="s">
        <v>117</v>
      </c>
      <c r="N90" s="45">
        <v>4</v>
      </c>
      <c r="O90" s="45">
        <v>3</v>
      </c>
      <c r="P90" s="45">
        <v>3</v>
      </c>
      <c r="Q90" s="45">
        <v>2</v>
      </c>
      <c r="R90" s="46">
        <v>4.09</v>
      </c>
      <c r="S90" s="46">
        <v>4.2699999999999996</v>
      </c>
      <c r="T90" s="46">
        <v>309</v>
      </c>
      <c r="U90" s="47">
        <v>3117</v>
      </c>
      <c r="V90" s="23">
        <v>24</v>
      </c>
      <c r="W90" s="38">
        <v>0</v>
      </c>
      <c r="X90" s="38">
        <v>24</v>
      </c>
      <c r="Y90" s="38">
        <v>0</v>
      </c>
      <c r="Z90" s="38">
        <v>0</v>
      </c>
      <c r="AA90" s="44">
        <v>56.6</v>
      </c>
      <c r="AB90" s="44">
        <f t="shared" ref="AB90" si="70">AA90/24</f>
        <v>2.3583333333333334</v>
      </c>
      <c r="AC90" s="52" t="s">
        <v>940</v>
      </c>
      <c r="AD90" s="19" t="s">
        <v>941</v>
      </c>
      <c r="AE90" s="40"/>
      <c r="AF90" s="41" t="s">
        <v>943</v>
      </c>
      <c r="AG90" s="40" t="s">
        <v>942</v>
      </c>
      <c r="AH90" s="38">
        <v>0</v>
      </c>
      <c r="AI90" s="38">
        <v>4</v>
      </c>
      <c r="AJ90" s="21">
        <v>0</v>
      </c>
      <c r="AK90" s="21">
        <v>0</v>
      </c>
      <c r="AL90" s="24">
        <f t="shared" si="42"/>
        <v>4</v>
      </c>
      <c r="AM90" s="12"/>
      <c r="AN90" s="12"/>
      <c r="AO90" s="12"/>
      <c r="AP90" s="12"/>
      <c r="AQ90" s="55">
        <f t="shared" si="43"/>
        <v>320.99999999999983</v>
      </c>
      <c r="AR90" s="38"/>
      <c r="AS90" s="38">
        <v>210</v>
      </c>
      <c r="AT90" s="26"/>
      <c r="AU90" s="49"/>
      <c r="AV90" s="136"/>
      <c r="AW90" s="137"/>
    </row>
    <row r="91" spans="1:49" ht="19.399999999999999" customHeight="1">
      <c r="A91" s="18" t="s">
        <v>134</v>
      </c>
      <c r="B91" s="18" t="s">
        <v>909</v>
      </c>
      <c r="C91" s="19" t="s">
        <v>710</v>
      </c>
      <c r="D91" s="19" t="s">
        <v>368</v>
      </c>
      <c r="E91" s="19" t="s">
        <v>945</v>
      </c>
      <c r="F91" s="58">
        <v>8</v>
      </c>
      <c r="G91" s="43">
        <v>25</v>
      </c>
      <c r="H91" s="44">
        <v>8.1</v>
      </c>
      <c r="I91" s="44" t="s">
        <v>38</v>
      </c>
      <c r="J91" s="43">
        <v>121</v>
      </c>
      <c r="K91" s="44">
        <v>44.4</v>
      </c>
      <c r="L91" s="44" t="s">
        <v>122</v>
      </c>
      <c r="M91" s="43" t="s">
        <v>117</v>
      </c>
      <c r="N91" s="45">
        <v>4</v>
      </c>
      <c r="O91" s="45">
        <v>3</v>
      </c>
      <c r="P91" s="45">
        <v>1</v>
      </c>
      <c r="Q91" s="45">
        <v>1</v>
      </c>
      <c r="R91" s="46">
        <v>4.09</v>
      </c>
      <c r="S91" s="46">
        <v>4.2699999999999996</v>
      </c>
      <c r="T91" s="46">
        <v>309</v>
      </c>
      <c r="U91" s="47">
        <v>3117</v>
      </c>
      <c r="V91" s="23">
        <v>24</v>
      </c>
      <c r="W91" s="38">
        <v>3.5</v>
      </c>
      <c r="X91" s="38">
        <v>0.9</v>
      </c>
      <c r="Y91" s="38">
        <v>19.600000000000001</v>
      </c>
      <c r="Z91" s="38">
        <v>0</v>
      </c>
      <c r="AA91" s="44">
        <v>29.4</v>
      </c>
      <c r="AB91" s="44">
        <f t="shared" ref="AB91" si="71">AA91/24</f>
        <v>1.2249999999999999</v>
      </c>
      <c r="AC91" s="52" t="s">
        <v>113</v>
      </c>
      <c r="AD91" s="25">
        <v>173</v>
      </c>
      <c r="AE91" s="41"/>
      <c r="AF91" s="25">
        <v>0</v>
      </c>
      <c r="AG91" s="41">
        <v>0</v>
      </c>
      <c r="AH91" s="56">
        <v>1.9</v>
      </c>
      <c r="AI91" s="56">
        <v>3.2</v>
      </c>
      <c r="AJ91" s="57">
        <v>0.2</v>
      </c>
      <c r="AK91" s="57">
        <v>0</v>
      </c>
      <c r="AL91" s="24">
        <f t="shared" si="42"/>
        <v>5.3</v>
      </c>
      <c r="AM91" s="55"/>
      <c r="AN91" s="55"/>
      <c r="AO91" s="55"/>
      <c r="AP91" s="55"/>
      <c r="AQ91" s="55">
        <f t="shared" si="43"/>
        <v>315.69999999999982</v>
      </c>
      <c r="AR91" s="38"/>
      <c r="AS91" s="38">
        <v>258</v>
      </c>
      <c r="AT91" s="26"/>
      <c r="AU91" s="49"/>
      <c r="AV91" s="136" t="s">
        <v>946</v>
      </c>
      <c r="AW91" s="137"/>
    </row>
    <row r="92" spans="1:49" ht="19.399999999999999" customHeight="1">
      <c r="A92" s="18" t="s">
        <v>134</v>
      </c>
      <c r="B92" s="18" t="s">
        <v>909</v>
      </c>
      <c r="C92" s="19" t="s">
        <v>710</v>
      </c>
      <c r="D92" s="19" t="s">
        <v>368</v>
      </c>
      <c r="E92" s="19" t="s">
        <v>947</v>
      </c>
      <c r="F92" s="58">
        <v>8</v>
      </c>
      <c r="G92" s="43">
        <v>25</v>
      </c>
      <c r="H92" s="44">
        <v>8.1</v>
      </c>
      <c r="I92" s="44" t="s">
        <v>38</v>
      </c>
      <c r="J92" s="43">
        <v>121</v>
      </c>
      <c r="K92" s="44">
        <v>44.4</v>
      </c>
      <c r="L92" s="44" t="s">
        <v>122</v>
      </c>
      <c r="M92" s="43" t="s">
        <v>115</v>
      </c>
      <c r="N92" s="45">
        <v>1</v>
      </c>
      <c r="O92" s="45">
        <v>3</v>
      </c>
      <c r="P92" s="45">
        <v>1</v>
      </c>
      <c r="Q92" s="45">
        <v>1</v>
      </c>
      <c r="R92" s="46">
        <v>4.09</v>
      </c>
      <c r="S92" s="46">
        <v>4.2699999999999996</v>
      </c>
      <c r="T92" s="46">
        <v>309</v>
      </c>
      <c r="U92" s="47">
        <v>3117</v>
      </c>
      <c r="V92" s="23">
        <v>24</v>
      </c>
      <c r="W92" s="38">
        <v>0</v>
      </c>
      <c r="X92" s="38">
        <v>0</v>
      </c>
      <c r="Y92" s="38">
        <v>24</v>
      </c>
      <c r="Z92" s="38">
        <v>0</v>
      </c>
      <c r="AA92" s="44">
        <v>0</v>
      </c>
      <c r="AB92" s="44">
        <f t="shared" ref="AB92" si="72">AA92/24</f>
        <v>0</v>
      </c>
      <c r="AC92" s="52" t="s">
        <v>113</v>
      </c>
      <c r="AD92" s="19">
        <v>225</v>
      </c>
      <c r="AE92" s="40"/>
      <c r="AF92" s="25">
        <v>0</v>
      </c>
      <c r="AG92" s="40">
        <v>0</v>
      </c>
      <c r="AH92" s="38">
        <v>0</v>
      </c>
      <c r="AI92" s="38">
        <v>0</v>
      </c>
      <c r="AJ92" s="21">
        <v>1.9</v>
      </c>
      <c r="AK92" s="21">
        <v>0</v>
      </c>
      <c r="AL92" s="24">
        <f t="shared" si="42"/>
        <v>1.9</v>
      </c>
      <c r="AM92" s="12"/>
      <c r="AN92" s="12"/>
      <c r="AO92" s="12"/>
      <c r="AP92" s="12"/>
      <c r="AQ92" s="55">
        <f t="shared" si="43"/>
        <v>313.79999999999984</v>
      </c>
      <c r="AR92" s="38"/>
      <c r="AS92" s="38">
        <v>252</v>
      </c>
      <c r="AT92" s="26"/>
      <c r="AU92" s="49"/>
      <c r="AV92" s="136"/>
      <c r="AW92" s="137"/>
    </row>
    <row r="93" spans="1:49" ht="19.399999999999999" customHeight="1">
      <c r="A93" s="18" t="s">
        <v>134</v>
      </c>
      <c r="B93" s="18" t="s">
        <v>909</v>
      </c>
      <c r="C93" s="19" t="s">
        <v>710</v>
      </c>
      <c r="D93" s="19" t="s">
        <v>368</v>
      </c>
      <c r="E93" s="19" t="s">
        <v>949</v>
      </c>
      <c r="F93" s="58">
        <v>8</v>
      </c>
      <c r="G93" s="43">
        <v>25</v>
      </c>
      <c r="H93" s="44">
        <v>8.1</v>
      </c>
      <c r="I93" s="44" t="s">
        <v>38</v>
      </c>
      <c r="J93" s="43">
        <v>121</v>
      </c>
      <c r="K93" s="44">
        <v>44.4</v>
      </c>
      <c r="L93" s="44" t="s">
        <v>122</v>
      </c>
      <c r="M93" s="43" t="s">
        <v>117</v>
      </c>
      <c r="N93" s="45">
        <v>1</v>
      </c>
      <c r="O93" s="45">
        <v>3</v>
      </c>
      <c r="P93" s="45">
        <v>1</v>
      </c>
      <c r="Q93" s="45">
        <v>1</v>
      </c>
      <c r="R93" s="46">
        <v>4.09</v>
      </c>
      <c r="S93" s="46">
        <v>4.2699999999999996</v>
      </c>
      <c r="T93" s="46">
        <v>309</v>
      </c>
      <c r="U93" s="47">
        <v>3117</v>
      </c>
      <c r="V93" s="23">
        <v>24</v>
      </c>
      <c r="W93" s="38">
        <v>0</v>
      </c>
      <c r="X93" s="38">
        <v>0</v>
      </c>
      <c r="Y93" s="38">
        <v>24</v>
      </c>
      <c r="Z93" s="38">
        <v>0</v>
      </c>
      <c r="AA93" s="44">
        <v>0</v>
      </c>
      <c r="AB93" s="44">
        <f t="shared" ref="AB93" si="73">AA93/24</f>
        <v>0</v>
      </c>
      <c r="AC93" s="52" t="s">
        <v>173</v>
      </c>
      <c r="AD93" s="19" t="s">
        <v>948</v>
      </c>
      <c r="AE93" s="40"/>
      <c r="AF93" s="25">
        <v>0</v>
      </c>
      <c r="AG93" s="40">
        <v>0</v>
      </c>
      <c r="AH93" s="38">
        <v>0</v>
      </c>
      <c r="AI93" s="38">
        <v>0</v>
      </c>
      <c r="AJ93" s="21">
        <v>1.5</v>
      </c>
      <c r="AK93" s="21">
        <v>0</v>
      </c>
      <c r="AL93" s="24">
        <f t="shared" si="42"/>
        <v>1.5</v>
      </c>
      <c r="AM93" s="12"/>
      <c r="AN93" s="12"/>
      <c r="AO93" s="12"/>
      <c r="AP93" s="12"/>
      <c r="AQ93" s="55">
        <f t="shared" si="43"/>
        <v>312.29999999999984</v>
      </c>
      <c r="AR93" s="21"/>
      <c r="AS93" s="12">
        <v>248</v>
      </c>
      <c r="AT93" s="26"/>
      <c r="AU93" s="49"/>
      <c r="AV93" s="136"/>
      <c r="AW93" s="137"/>
    </row>
    <row r="94" spans="1:49" ht="19.399999999999999" customHeight="1">
      <c r="A94" s="18" t="s">
        <v>134</v>
      </c>
      <c r="B94" s="18" t="s">
        <v>952</v>
      </c>
      <c r="C94" s="19" t="s">
        <v>368</v>
      </c>
      <c r="D94" s="19" t="s">
        <v>710</v>
      </c>
      <c r="E94" s="19" t="s">
        <v>951</v>
      </c>
      <c r="F94" s="58">
        <v>8</v>
      </c>
      <c r="G94" s="43">
        <v>25</v>
      </c>
      <c r="H94" s="44">
        <v>56.5</v>
      </c>
      <c r="I94" s="44" t="s">
        <v>38</v>
      </c>
      <c r="J94" s="43">
        <v>121</v>
      </c>
      <c r="K94" s="44">
        <v>53.7</v>
      </c>
      <c r="L94" s="44" t="s">
        <v>122</v>
      </c>
      <c r="M94" s="43" t="s">
        <v>117</v>
      </c>
      <c r="N94" s="45">
        <v>1</v>
      </c>
      <c r="O94" s="45">
        <v>3</v>
      </c>
      <c r="P94" s="45">
        <v>2</v>
      </c>
      <c r="Q94" s="45">
        <v>1</v>
      </c>
      <c r="R94" s="46">
        <v>4</v>
      </c>
      <c r="S94" s="46">
        <v>4.25</v>
      </c>
      <c r="T94" s="46">
        <v>350</v>
      </c>
      <c r="U94" s="47">
        <v>3038</v>
      </c>
      <c r="V94" s="23">
        <v>24</v>
      </c>
      <c r="W94" s="38">
        <v>1.8</v>
      </c>
      <c r="X94" s="38">
        <v>1.2</v>
      </c>
      <c r="Y94" s="38">
        <v>21</v>
      </c>
      <c r="Z94" s="38">
        <v>0</v>
      </c>
      <c r="AA94" s="44">
        <v>20.3</v>
      </c>
      <c r="AB94" s="44">
        <f t="shared" ref="AB94" si="74">AA94/24</f>
        <v>0.84583333333333333</v>
      </c>
      <c r="AC94" s="52" t="s">
        <v>173</v>
      </c>
      <c r="AD94" s="25" t="s">
        <v>950</v>
      </c>
      <c r="AE94" s="41"/>
      <c r="AF94" s="25" t="s">
        <v>148</v>
      </c>
      <c r="AG94" s="25" t="s">
        <v>517</v>
      </c>
      <c r="AH94" s="56">
        <v>0.1</v>
      </c>
      <c r="AI94" s="56">
        <v>0.2</v>
      </c>
      <c r="AJ94" s="57">
        <v>1</v>
      </c>
      <c r="AK94" s="57">
        <v>0</v>
      </c>
      <c r="AL94" s="24">
        <f t="shared" si="42"/>
        <v>1.3</v>
      </c>
      <c r="AM94" s="55"/>
      <c r="AN94" s="55"/>
      <c r="AO94" s="55"/>
      <c r="AP94" s="55"/>
      <c r="AQ94" s="55">
        <f t="shared" si="43"/>
        <v>310.99999999999983</v>
      </c>
      <c r="AR94" s="21"/>
      <c r="AS94" s="55">
        <v>240</v>
      </c>
      <c r="AT94" s="26"/>
      <c r="AU94" s="49"/>
      <c r="AV94" s="136"/>
      <c r="AW94" s="137"/>
    </row>
    <row r="95" spans="1:49" ht="19.399999999999999" customHeight="1">
      <c r="A95" s="18" t="s">
        <v>134</v>
      </c>
      <c r="B95" s="18" t="s">
        <v>952</v>
      </c>
      <c r="C95" s="19" t="s">
        <v>368</v>
      </c>
      <c r="D95" s="19" t="s">
        <v>710</v>
      </c>
      <c r="E95" s="19" t="s">
        <v>955</v>
      </c>
      <c r="F95" s="58">
        <v>8</v>
      </c>
      <c r="G95" s="43">
        <v>25</v>
      </c>
      <c r="H95" s="44">
        <v>11</v>
      </c>
      <c r="I95" s="44" t="s">
        <v>38</v>
      </c>
      <c r="J95" s="43">
        <v>121</v>
      </c>
      <c r="K95" s="44">
        <v>58.9</v>
      </c>
      <c r="L95" s="44" t="s">
        <v>122</v>
      </c>
      <c r="M95" s="43" t="s">
        <v>117</v>
      </c>
      <c r="N95" s="45">
        <v>4</v>
      </c>
      <c r="O95" s="45">
        <v>4</v>
      </c>
      <c r="P95" s="45">
        <v>3</v>
      </c>
      <c r="Q95" s="45">
        <v>1</v>
      </c>
      <c r="R95" s="46">
        <v>4</v>
      </c>
      <c r="S95" s="46">
        <v>4.25</v>
      </c>
      <c r="T95" s="46">
        <v>350</v>
      </c>
      <c r="U95" s="47">
        <v>3038</v>
      </c>
      <c r="V95" s="23">
        <v>24</v>
      </c>
      <c r="W95" s="38">
        <v>0</v>
      </c>
      <c r="X95" s="38">
        <v>24</v>
      </c>
      <c r="Y95" s="38">
        <v>0</v>
      </c>
      <c r="Z95" s="38">
        <v>0</v>
      </c>
      <c r="AA95" s="44">
        <v>32.9</v>
      </c>
      <c r="AB95" s="44">
        <f t="shared" ref="AB95" si="75">AA95/24</f>
        <v>1.3708333333333333</v>
      </c>
      <c r="AC95" s="52" t="s">
        <v>126</v>
      </c>
      <c r="AD95" s="19" t="s">
        <v>953</v>
      </c>
      <c r="AE95" s="40"/>
      <c r="AF95" s="25" t="s">
        <v>954</v>
      </c>
      <c r="AG95" s="19" t="s">
        <v>151</v>
      </c>
      <c r="AH95" s="38">
        <v>0</v>
      </c>
      <c r="AI95" s="38">
        <v>3.2</v>
      </c>
      <c r="AJ95" s="21">
        <v>0</v>
      </c>
      <c r="AK95" s="21">
        <v>0</v>
      </c>
      <c r="AL95" s="24">
        <f t="shared" si="42"/>
        <v>3.2</v>
      </c>
      <c r="AM95" s="12"/>
      <c r="AN95" s="12"/>
      <c r="AO95" s="12"/>
      <c r="AP95" s="12"/>
      <c r="AQ95" s="55">
        <f t="shared" si="43"/>
        <v>307.79999999999984</v>
      </c>
      <c r="AR95" s="21"/>
      <c r="AS95" s="12">
        <v>233</v>
      </c>
      <c r="AT95" s="26"/>
      <c r="AU95" s="49"/>
      <c r="AV95" s="136"/>
      <c r="AW95" s="137"/>
    </row>
    <row r="96" spans="1:49" ht="19.399999999999999" customHeight="1">
      <c r="A96" s="18" t="s">
        <v>134</v>
      </c>
      <c r="B96" s="18" t="s">
        <v>952</v>
      </c>
      <c r="C96" s="19" t="s">
        <v>368</v>
      </c>
      <c r="D96" s="19" t="s">
        <v>710</v>
      </c>
      <c r="E96" s="19" t="s">
        <v>959</v>
      </c>
      <c r="F96" s="58">
        <v>8</v>
      </c>
      <c r="G96" s="43">
        <v>24</v>
      </c>
      <c r="H96" s="44">
        <v>58.2</v>
      </c>
      <c r="I96" s="44" t="s">
        <v>38</v>
      </c>
      <c r="J96" s="43">
        <v>122</v>
      </c>
      <c r="K96" s="44">
        <v>10</v>
      </c>
      <c r="L96" s="44" t="s">
        <v>122</v>
      </c>
      <c r="M96" s="43" t="s">
        <v>123</v>
      </c>
      <c r="N96" s="45">
        <v>0</v>
      </c>
      <c r="O96" s="45">
        <v>4</v>
      </c>
      <c r="P96" s="45">
        <v>3</v>
      </c>
      <c r="Q96" s="45">
        <v>1</v>
      </c>
      <c r="R96" s="46">
        <v>4</v>
      </c>
      <c r="S96" s="46">
        <v>4.25</v>
      </c>
      <c r="T96" s="46">
        <v>350</v>
      </c>
      <c r="U96" s="47">
        <v>3038</v>
      </c>
      <c r="V96" s="23">
        <v>24</v>
      </c>
      <c r="W96" s="38">
        <v>0</v>
      </c>
      <c r="X96" s="38">
        <v>24</v>
      </c>
      <c r="Y96" s="38">
        <v>0</v>
      </c>
      <c r="Z96" s="38">
        <v>0</v>
      </c>
      <c r="AA96" s="44">
        <v>32.200000000000003</v>
      </c>
      <c r="AB96" s="44">
        <f t="shared" ref="AB96" si="76">AA96/24</f>
        <v>1.3416666666666668</v>
      </c>
      <c r="AC96" s="52" t="s">
        <v>125</v>
      </c>
      <c r="AD96" s="19" t="s">
        <v>956</v>
      </c>
      <c r="AE96" s="40"/>
      <c r="AF96" s="25" t="s">
        <v>957</v>
      </c>
      <c r="AG96" s="19" t="s">
        <v>958</v>
      </c>
      <c r="AH96" s="38">
        <v>0</v>
      </c>
      <c r="AI96" s="38">
        <v>3</v>
      </c>
      <c r="AJ96" s="21">
        <v>0</v>
      </c>
      <c r="AK96" s="21">
        <v>0</v>
      </c>
      <c r="AL96" s="24">
        <f t="shared" si="42"/>
        <v>3</v>
      </c>
      <c r="AM96" s="12"/>
      <c r="AN96" s="12"/>
      <c r="AO96" s="12"/>
      <c r="AP96" s="12"/>
      <c r="AQ96" s="55">
        <f t="shared" si="43"/>
        <v>304.79999999999984</v>
      </c>
      <c r="AR96" s="21"/>
      <c r="AS96" s="12">
        <v>227</v>
      </c>
      <c r="AT96" s="26"/>
      <c r="AU96" s="49"/>
      <c r="AV96" s="142"/>
      <c r="AW96" s="137"/>
    </row>
    <row r="97" spans="1:49" ht="19.399999999999999" customHeight="1">
      <c r="A97" s="18" t="s">
        <v>134</v>
      </c>
      <c r="B97" s="18" t="s">
        <v>952</v>
      </c>
      <c r="C97" s="19" t="s">
        <v>368</v>
      </c>
      <c r="D97" s="19" t="s">
        <v>710</v>
      </c>
      <c r="E97" s="19" t="s">
        <v>963</v>
      </c>
      <c r="F97" s="58">
        <v>8</v>
      </c>
      <c r="G97" s="43">
        <v>25</v>
      </c>
      <c r="H97" s="44">
        <v>26.6</v>
      </c>
      <c r="I97" s="44" t="s">
        <v>38</v>
      </c>
      <c r="J97" s="43">
        <v>121</v>
      </c>
      <c r="K97" s="44">
        <v>49.5</v>
      </c>
      <c r="L97" s="44" t="s">
        <v>122</v>
      </c>
      <c r="M97" s="43" t="s">
        <v>117</v>
      </c>
      <c r="N97" s="45">
        <v>3</v>
      </c>
      <c r="O97" s="45">
        <v>4</v>
      </c>
      <c r="P97" s="45">
        <v>3</v>
      </c>
      <c r="Q97" s="45">
        <v>2</v>
      </c>
      <c r="R97" s="46">
        <v>4</v>
      </c>
      <c r="S97" s="46">
        <v>4.25</v>
      </c>
      <c r="T97" s="46">
        <v>350</v>
      </c>
      <c r="U97" s="47">
        <v>3038</v>
      </c>
      <c r="V97" s="23">
        <v>24</v>
      </c>
      <c r="W97" s="38">
        <v>0</v>
      </c>
      <c r="X97" s="38">
        <v>24</v>
      </c>
      <c r="Y97" s="38">
        <v>0</v>
      </c>
      <c r="Z97" s="38">
        <v>0</v>
      </c>
      <c r="AA97" s="44">
        <v>46.2</v>
      </c>
      <c r="AB97" s="44">
        <f t="shared" ref="AB97" si="77">AA97/24</f>
        <v>1.925</v>
      </c>
      <c r="AC97" s="52" t="s">
        <v>125</v>
      </c>
      <c r="AD97" s="40" t="s">
        <v>960</v>
      </c>
      <c r="AE97" s="40"/>
      <c r="AF97" s="41" t="s">
        <v>962</v>
      </c>
      <c r="AG97" s="40" t="s">
        <v>961</v>
      </c>
      <c r="AH97" s="38">
        <v>0</v>
      </c>
      <c r="AI97" s="38">
        <v>3.1</v>
      </c>
      <c r="AJ97" s="38">
        <v>0</v>
      </c>
      <c r="AK97" s="38">
        <v>0</v>
      </c>
      <c r="AL97" s="54">
        <f t="shared" si="42"/>
        <v>3.1</v>
      </c>
      <c r="AM97" s="12"/>
      <c r="AN97" s="12"/>
      <c r="AO97" s="12"/>
      <c r="AP97" s="12"/>
      <c r="AQ97" s="55">
        <f t="shared" si="43"/>
        <v>301.69999999999982</v>
      </c>
      <c r="AR97" s="21"/>
      <c r="AS97" s="12">
        <v>219</v>
      </c>
      <c r="AT97" s="26"/>
      <c r="AU97" s="49"/>
      <c r="AV97" s="142"/>
      <c r="AW97" s="137"/>
    </row>
    <row r="98" spans="1:49" ht="19.399999999999999" customHeight="1">
      <c r="A98" s="18" t="s">
        <v>134</v>
      </c>
      <c r="B98" s="18" t="s">
        <v>952</v>
      </c>
      <c r="C98" s="19" t="s">
        <v>368</v>
      </c>
      <c r="D98" s="19" t="s">
        <v>710</v>
      </c>
      <c r="E98" s="19" t="s">
        <v>964</v>
      </c>
      <c r="F98" s="58">
        <v>8</v>
      </c>
      <c r="G98" s="43">
        <v>25</v>
      </c>
      <c r="H98" s="44">
        <v>24.5</v>
      </c>
      <c r="I98" s="44" t="s">
        <v>38</v>
      </c>
      <c r="J98" s="43">
        <v>121</v>
      </c>
      <c r="K98" s="44">
        <v>52.2</v>
      </c>
      <c r="L98" s="44" t="s">
        <v>122</v>
      </c>
      <c r="M98" s="43" t="s">
        <v>117</v>
      </c>
      <c r="N98" s="45">
        <v>3</v>
      </c>
      <c r="O98" s="45">
        <v>3</v>
      </c>
      <c r="P98" s="45">
        <v>3</v>
      </c>
      <c r="Q98" s="45">
        <v>2</v>
      </c>
      <c r="R98" s="46">
        <v>4</v>
      </c>
      <c r="S98" s="46">
        <v>4.25</v>
      </c>
      <c r="T98" s="46">
        <v>350</v>
      </c>
      <c r="U98" s="47">
        <v>3038</v>
      </c>
      <c r="V98" s="23">
        <v>24</v>
      </c>
      <c r="W98" s="38">
        <v>0</v>
      </c>
      <c r="X98" s="38">
        <v>24</v>
      </c>
      <c r="Y98" s="38">
        <v>0</v>
      </c>
      <c r="Z98" s="38">
        <v>0</v>
      </c>
      <c r="AA98" s="44">
        <v>18.2</v>
      </c>
      <c r="AB98" s="44">
        <f t="shared" ref="AB98" si="78">AA98/24</f>
        <v>0.7583333333333333</v>
      </c>
      <c r="AC98" s="52" t="s">
        <v>125</v>
      </c>
      <c r="AD98" s="40" t="s">
        <v>965</v>
      </c>
      <c r="AE98" s="40"/>
      <c r="AF98" s="41" t="s">
        <v>966</v>
      </c>
      <c r="AG98" s="40" t="s">
        <v>967</v>
      </c>
      <c r="AH98" s="38">
        <v>0</v>
      </c>
      <c r="AI98" s="38">
        <v>3.5</v>
      </c>
      <c r="AJ98" s="38">
        <v>0</v>
      </c>
      <c r="AK98" s="38">
        <v>0</v>
      </c>
      <c r="AL98" s="54">
        <f t="shared" si="42"/>
        <v>3.5</v>
      </c>
      <c r="AM98" s="12"/>
      <c r="AN98" s="12"/>
      <c r="AO98" s="12"/>
      <c r="AP98" s="12"/>
      <c r="AQ98" s="55">
        <f t="shared" si="43"/>
        <v>298.19999999999982</v>
      </c>
      <c r="AR98" s="21"/>
      <c r="AS98" s="12">
        <v>211</v>
      </c>
      <c r="AT98" s="26"/>
      <c r="AU98" s="49"/>
      <c r="AV98" s="142"/>
      <c r="AW98" s="137"/>
    </row>
    <row r="99" spans="1:49" ht="19.399999999999999" customHeight="1">
      <c r="A99" s="18" t="s">
        <v>134</v>
      </c>
      <c r="B99" s="18" t="s">
        <v>952</v>
      </c>
      <c r="C99" s="19" t="s">
        <v>368</v>
      </c>
      <c r="D99" s="19" t="s">
        <v>710</v>
      </c>
      <c r="E99" s="19" t="s">
        <v>970</v>
      </c>
      <c r="F99" s="58">
        <v>8</v>
      </c>
      <c r="G99" s="43">
        <v>25</v>
      </c>
      <c r="H99" s="44">
        <v>18.3</v>
      </c>
      <c r="I99" s="44" t="s">
        <v>38</v>
      </c>
      <c r="J99" s="43">
        <v>122</v>
      </c>
      <c r="K99" s="44">
        <v>1.2</v>
      </c>
      <c r="L99" s="44" t="s">
        <v>122</v>
      </c>
      <c r="M99" s="43" t="s">
        <v>115</v>
      </c>
      <c r="N99" s="45">
        <v>3</v>
      </c>
      <c r="O99" s="45">
        <v>3</v>
      </c>
      <c r="P99" s="45">
        <v>2</v>
      </c>
      <c r="Q99" s="45">
        <v>1</v>
      </c>
      <c r="R99" s="46">
        <v>4</v>
      </c>
      <c r="S99" s="46">
        <v>4.25</v>
      </c>
      <c r="T99" s="46">
        <v>350</v>
      </c>
      <c r="U99" s="47">
        <v>3038</v>
      </c>
      <c r="V99" s="23">
        <v>24</v>
      </c>
      <c r="W99" s="38">
        <v>0</v>
      </c>
      <c r="X99" s="38">
        <v>24</v>
      </c>
      <c r="Y99" s="38">
        <v>0</v>
      </c>
      <c r="Z99" s="38">
        <v>0</v>
      </c>
      <c r="AA99" s="44">
        <v>12.3</v>
      </c>
      <c r="AB99" s="44">
        <f t="shared" ref="AB99" si="79">AA99/24</f>
        <v>0.51250000000000007</v>
      </c>
      <c r="AC99" s="52" t="s">
        <v>125</v>
      </c>
      <c r="AD99" s="19" t="s">
        <v>968</v>
      </c>
      <c r="AE99" s="40"/>
      <c r="AF99" s="25" t="s">
        <v>969</v>
      </c>
      <c r="AG99" s="19" t="s">
        <v>163</v>
      </c>
      <c r="AH99" s="12">
        <v>0</v>
      </c>
      <c r="AI99" s="21">
        <v>3</v>
      </c>
      <c r="AJ99" s="21">
        <v>0</v>
      </c>
      <c r="AK99" s="21">
        <v>0</v>
      </c>
      <c r="AL99" s="24">
        <f t="shared" si="42"/>
        <v>3</v>
      </c>
      <c r="AM99" s="12"/>
      <c r="AN99" s="12"/>
      <c r="AO99" s="12"/>
      <c r="AP99" s="12"/>
      <c r="AQ99" s="55">
        <f t="shared" si="43"/>
        <v>295.19999999999982</v>
      </c>
      <c r="AR99" s="21"/>
      <c r="AS99" s="12">
        <v>202</v>
      </c>
      <c r="AT99" s="26"/>
      <c r="AU99" s="49"/>
      <c r="AV99" s="136"/>
      <c r="AW99" s="137"/>
    </row>
    <row r="100" spans="1:49" ht="19.399999999999999" customHeight="1">
      <c r="A100" s="18" t="s">
        <v>134</v>
      </c>
      <c r="B100" s="18" t="s">
        <v>952</v>
      </c>
      <c r="C100" s="19" t="s">
        <v>368</v>
      </c>
      <c r="D100" s="19" t="s">
        <v>710</v>
      </c>
      <c r="E100" s="19" t="s">
        <v>974</v>
      </c>
      <c r="F100" s="58">
        <v>8</v>
      </c>
      <c r="G100" s="43">
        <v>25</v>
      </c>
      <c r="H100" s="44">
        <v>17.5</v>
      </c>
      <c r="I100" s="44" t="s">
        <v>38</v>
      </c>
      <c r="J100" s="43">
        <v>122</v>
      </c>
      <c r="K100" s="44">
        <v>3.3</v>
      </c>
      <c r="L100" s="44" t="s">
        <v>122</v>
      </c>
      <c r="M100" s="43" t="s">
        <v>117</v>
      </c>
      <c r="N100" s="45">
        <v>3</v>
      </c>
      <c r="O100" s="45">
        <v>3</v>
      </c>
      <c r="P100" s="45">
        <v>2</v>
      </c>
      <c r="Q100" s="45">
        <v>1</v>
      </c>
      <c r="R100" s="46">
        <v>4</v>
      </c>
      <c r="S100" s="46">
        <v>4.25</v>
      </c>
      <c r="T100" s="46">
        <v>350</v>
      </c>
      <c r="U100" s="47">
        <v>3038</v>
      </c>
      <c r="V100" s="23">
        <v>24</v>
      </c>
      <c r="W100" s="38">
        <v>0</v>
      </c>
      <c r="X100" s="38">
        <v>24</v>
      </c>
      <c r="Y100" s="38">
        <v>0</v>
      </c>
      <c r="Z100" s="38">
        <v>0</v>
      </c>
      <c r="AA100" s="44">
        <v>5.7</v>
      </c>
      <c r="AB100" s="44">
        <f t="shared" ref="AB100" si="80">AA100/24</f>
        <v>0.23750000000000002</v>
      </c>
      <c r="AC100" s="52" t="s">
        <v>125</v>
      </c>
      <c r="AD100" s="19" t="s">
        <v>971</v>
      </c>
      <c r="AE100" s="48"/>
      <c r="AF100" s="40" t="s">
        <v>972</v>
      </c>
      <c r="AG100" s="19" t="s">
        <v>973</v>
      </c>
      <c r="AH100" s="21">
        <v>0</v>
      </c>
      <c r="AI100" s="21">
        <v>2.8</v>
      </c>
      <c r="AJ100" s="21">
        <v>0</v>
      </c>
      <c r="AK100" s="21">
        <v>0</v>
      </c>
      <c r="AL100" s="24">
        <f t="shared" si="42"/>
        <v>2.8</v>
      </c>
      <c r="AM100" s="12"/>
      <c r="AN100" s="12"/>
      <c r="AO100" s="12"/>
      <c r="AP100" s="12"/>
      <c r="AQ100" s="55">
        <f t="shared" si="43"/>
        <v>292.39999999999981</v>
      </c>
      <c r="AR100" s="21"/>
      <c r="AS100" s="12">
        <v>196</v>
      </c>
      <c r="AT100" s="26"/>
      <c r="AU100" s="49"/>
      <c r="AV100" s="136"/>
      <c r="AW100" s="137"/>
    </row>
    <row r="101" spans="1:49" customFormat="1">
      <c r="A101" s="7"/>
      <c r="B101" s="7"/>
      <c r="C101" s="7"/>
      <c r="D101" s="7"/>
      <c r="E101" s="8"/>
      <c r="F101" s="8"/>
      <c r="G101" s="10"/>
      <c r="H101" s="9"/>
      <c r="I101" s="9"/>
      <c r="J101" s="10"/>
      <c r="K101" s="9"/>
      <c r="L101" s="9"/>
      <c r="M101" s="9"/>
      <c r="N101" s="9"/>
      <c r="O101" s="9"/>
      <c r="P101" s="9"/>
      <c r="Q101" s="9"/>
      <c r="R101" s="7"/>
      <c r="S101" s="7"/>
      <c r="T101" s="7"/>
      <c r="U101" s="7"/>
      <c r="V101" s="7"/>
      <c r="W101" s="7"/>
      <c r="X101" s="7"/>
      <c r="Y101" s="7"/>
      <c r="Z101" s="7"/>
      <c r="AA101" s="9"/>
      <c r="AB101" s="9"/>
      <c r="AC101" s="52"/>
      <c r="AD101" s="66"/>
      <c r="AE101" s="66"/>
      <c r="AF101" s="66"/>
      <c r="AG101" s="66"/>
      <c r="AH101" s="67"/>
      <c r="AI101" s="67"/>
      <c r="AJ101" s="67"/>
      <c r="AK101" s="67"/>
      <c r="AL101" s="67"/>
      <c r="AM101" s="67"/>
      <c r="AN101" s="67"/>
      <c r="AO101" s="67"/>
      <c r="AP101" s="67"/>
      <c r="AQ101" s="55"/>
      <c r="AR101" s="68"/>
      <c r="AS101" s="68"/>
      <c r="AT101" s="69"/>
      <c r="AU101" s="70"/>
      <c r="AV101" s="69"/>
      <c r="AW101" s="71"/>
    </row>
    <row r="102" spans="1:49" s="7" customFormat="1">
      <c r="E102" s="8"/>
      <c r="F102" s="8"/>
      <c r="G102" s="10"/>
      <c r="H102" s="9"/>
      <c r="I102" s="9"/>
      <c r="J102" s="10"/>
      <c r="K102" s="9"/>
      <c r="L102" s="9"/>
      <c r="M102" s="9"/>
      <c r="N102" s="9"/>
      <c r="O102" s="9"/>
      <c r="P102" s="9"/>
      <c r="Q102" s="9"/>
      <c r="AA102" s="9"/>
      <c r="AB102" s="9"/>
      <c r="AC102" s="9"/>
      <c r="AD102" s="10"/>
      <c r="AE102" s="10"/>
      <c r="AF102" s="10"/>
      <c r="AG102" s="10"/>
      <c r="AH102" s="11"/>
      <c r="AI102" s="11"/>
      <c r="AJ102" s="11"/>
      <c r="AK102" s="11"/>
      <c r="AL102" s="11"/>
      <c r="AM102" s="11"/>
      <c r="AN102" s="11"/>
      <c r="AO102" s="11"/>
      <c r="AP102" s="11"/>
      <c r="AQ102" s="11"/>
      <c r="AR102" s="16"/>
      <c r="AS102" s="16"/>
      <c r="AT102" s="17"/>
      <c r="AU102" s="50"/>
      <c r="AV102" s="17"/>
    </row>
    <row r="103" spans="1:49" s="7" customFormat="1">
      <c r="E103" s="8"/>
      <c r="F103" s="8"/>
      <c r="G103" s="10"/>
      <c r="H103" s="9"/>
      <c r="I103" s="9"/>
      <c r="J103" s="10"/>
      <c r="K103" s="9"/>
      <c r="L103" s="9"/>
      <c r="M103" s="9"/>
      <c r="N103" s="9"/>
      <c r="O103" s="9"/>
      <c r="P103" s="9"/>
      <c r="Q103" s="9"/>
      <c r="AA103" s="9"/>
      <c r="AB103" s="9"/>
      <c r="AC103" s="9"/>
      <c r="AD103" s="10"/>
      <c r="AE103" s="10"/>
      <c r="AF103" s="10"/>
      <c r="AG103" s="10"/>
      <c r="AH103" s="11"/>
      <c r="AI103" s="11"/>
      <c r="AJ103" s="11"/>
      <c r="AK103" s="11"/>
      <c r="AL103" s="11"/>
      <c r="AM103" s="11"/>
      <c r="AN103" s="11"/>
      <c r="AO103" s="11"/>
      <c r="AP103" s="11"/>
      <c r="AQ103" s="11"/>
      <c r="AR103" s="16"/>
      <c r="AS103" s="16"/>
      <c r="AT103" s="17"/>
      <c r="AU103" s="50"/>
      <c r="AV103" s="17"/>
    </row>
    <row r="104" spans="1:49" s="7" customFormat="1">
      <c r="E104" s="8"/>
      <c r="F104" s="8"/>
      <c r="G104" s="10"/>
      <c r="H104" s="9"/>
      <c r="I104" s="9"/>
      <c r="J104" s="10"/>
      <c r="K104" s="9"/>
      <c r="L104" s="9"/>
      <c r="M104" s="9"/>
      <c r="N104" s="9"/>
      <c r="O104" s="9"/>
      <c r="P104" s="9"/>
      <c r="Q104" s="9"/>
      <c r="AA104" s="9"/>
      <c r="AB104" s="9"/>
      <c r="AC104" s="5"/>
      <c r="AD104" s="10"/>
      <c r="AE104" s="10"/>
      <c r="AF104" s="10"/>
      <c r="AG104" s="10"/>
      <c r="AH104" s="11"/>
      <c r="AI104" s="11"/>
      <c r="AJ104" s="11"/>
      <c r="AK104" s="11"/>
      <c r="AL104" s="11"/>
      <c r="AM104" s="11"/>
      <c r="AN104" s="11"/>
      <c r="AO104" s="11"/>
      <c r="AP104" s="11"/>
      <c r="AQ104" s="16"/>
      <c r="AR104" s="16"/>
      <c r="AS104" s="16"/>
      <c r="AT104" s="17"/>
      <c r="AU104" s="50"/>
      <c r="AV104" s="17"/>
    </row>
    <row r="105" spans="1:49" s="7" customFormat="1">
      <c r="E105" s="8"/>
      <c r="F105" s="8"/>
      <c r="G105" s="10"/>
      <c r="H105" s="9"/>
      <c r="I105" s="9"/>
      <c r="J105" s="10"/>
      <c r="K105" s="9"/>
      <c r="L105" s="9"/>
      <c r="M105" s="9"/>
      <c r="N105" s="9"/>
      <c r="O105" s="9"/>
      <c r="P105" s="9"/>
      <c r="Q105" s="5"/>
      <c r="W105" s="1"/>
      <c r="X105" s="1"/>
      <c r="Y105" s="1"/>
      <c r="Z105" s="1"/>
      <c r="AA105" s="5"/>
      <c r="AB105" s="5"/>
      <c r="AC105" s="5"/>
      <c r="AD105" s="6"/>
      <c r="AE105" s="6"/>
      <c r="AF105" s="6"/>
      <c r="AG105" s="6"/>
      <c r="AH105" s="2"/>
      <c r="AI105" s="2"/>
      <c r="AJ105" s="2"/>
      <c r="AK105" s="2"/>
      <c r="AL105" s="2"/>
      <c r="AM105" s="2"/>
      <c r="AN105" s="2"/>
      <c r="AO105" s="2"/>
      <c r="AP105" s="2"/>
      <c r="AQ105" s="14"/>
      <c r="AR105" s="14"/>
      <c r="AS105" s="14"/>
      <c r="AT105" s="17"/>
      <c r="AU105" s="50"/>
      <c r="AV105" s="17"/>
    </row>
    <row r="106" spans="1:49" s="7" customFormat="1">
      <c r="A106" s="1"/>
      <c r="B106" s="1"/>
      <c r="C106" s="1"/>
      <c r="D106" s="1"/>
      <c r="E106" s="3"/>
      <c r="F106" s="3"/>
      <c r="G106" s="6"/>
      <c r="H106" s="5"/>
      <c r="I106" s="5"/>
      <c r="J106" s="6"/>
      <c r="K106" s="5"/>
      <c r="L106" s="5"/>
      <c r="M106" s="5"/>
      <c r="N106" s="5"/>
      <c r="O106" s="5"/>
      <c r="P106" s="5"/>
      <c r="Q106" s="5"/>
      <c r="R106" s="1"/>
      <c r="S106" s="1"/>
      <c r="T106" s="1"/>
      <c r="U106" s="1"/>
      <c r="V106" s="1"/>
      <c r="W106" s="1"/>
      <c r="X106" s="1"/>
      <c r="Y106" s="1"/>
      <c r="Z106" s="1"/>
      <c r="AA106" s="5"/>
      <c r="AB106" s="5"/>
      <c r="AC106" s="5"/>
      <c r="AD106" s="6"/>
      <c r="AE106" s="6"/>
      <c r="AF106" s="6"/>
      <c r="AG106" s="6"/>
      <c r="AH106" s="2"/>
      <c r="AI106" s="2"/>
      <c r="AJ106" s="2"/>
      <c r="AK106" s="2"/>
      <c r="AL106" s="2"/>
      <c r="AM106" s="2"/>
      <c r="AN106" s="2"/>
      <c r="AO106" s="2"/>
      <c r="AP106" s="2"/>
      <c r="AQ106" s="14"/>
      <c r="AR106" s="14"/>
      <c r="AS106" s="14"/>
      <c r="AT106" s="15"/>
      <c r="AU106" s="51"/>
      <c r="AV106" s="15"/>
      <c r="AW106" s="1"/>
    </row>
    <row r="1048574" spans="43:43">
      <c r="AQ1048574" s="12">
        <f>AQ1048573-AL1048574</f>
        <v>0</v>
      </c>
    </row>
  </sheetData>
  <mergeCells count="149">
    <mergeCell ref="A1:AW1"/>
    <mergeCell ref="A2:A4"/>
    <mergeCell ref="B2:B4"/>
    <mergeCell ref="C2:C4"/>
    <mergeCell ref="D2:D4"/>
    <mergeCell ref="E2:E4"/>
    <mergeCell ref="F2:F4"/>
    <mergeCell ref="G2:L2"/>
    <mergeCell ref="M2:Q2"/>
    <mergeCell ref="R2:S2"/>
    <mergeCell ref="AQ2:AS2"/>
    <mergeCell ref="AT2:AT4"/>
    <mergeCell ref="AU2:AU4"/>
    <mergeCell ref="AV2:AW4"/>
    <mergeCell ref="AQ3:AQ4"/>
    <mergeCell ref="AR3:AR4"/>
    <mergeCell ref="AS3:AS4"/>
    <mergeCell ref="T2:T4"/>
    <mergeCell ref="U2:U4"/>
    <mergeCell ref="V2:Z2"/>
    <mergeCell ref="AB2:AB4"/>
    <mergeCell ref="AC2:AG2"/>
    <mergeCell ref="AH2:AK2"/>
    <mergeCell ref="Y3:Y4"/>
    <mergeCell ref="G3:I3"/>
    <mergeCell ref="J3:L3"/>
    <mergeCell ref="M3:M4"/>
    <mergeCell ref="N3:N4"/>
    <mergeCell ref="O3:O4"/>
    <mergeCell ref="P3:P4"/>
    <mergeCell ref="AJ3:AJ4"/>
    <mergeCell ref="AK3:AK4"/>
    <mergeCell ref="AM3:AM4"/>
    <mergeCell ref="Z3:Z4"/>
    <mergeCell ref="AA3:AA4"/>
    <mergeCell ref="AC3:AC4"/>
    <mergeCell ref="Q3:Q4"/>
    <mergeCell ref="R3:R4"/>
    <mergeCell ref="S3:S4"/>
    <mergeCell ref="V3:V4"/>
    <mergeCell ref="W3:W4"/>
    <mergeCell ref="X3:X4"/>
    <mergeCell ref="AN3:AN4"/>
    <mergeCell ref="AO3:AO4"/>
    <mergeCell ref="AP3:AP4"/>
    <mergeCell ref="AD3:AD4"/>
    <mergeCell ref="AE3:AE4"/>
    <mergeCell ref="AF3:AF4"/>
    <mergeCell ref="AG3:AG4"/>
    <mergeCell ref="AH3:AH4"/>
    <mergeCell ref="AI3:AI4"/>
    <mergeCell ref="AL2:AL4"/>
    <mergeCell ref="AM2:AP2"/>
    <mergeCell ref="AV11:AW11"/>
    <mergeCell ref="AV12:AW12"/>
    <mergeCell ref="AV13:AW13"/>
    <mergeCell ref="AV14:AW14"/>
    <mergeCell ref="AV15:AW15"/>
    <mergeCell ref="AV16:AW16"/>
    <mergeCell ref="AV5:AW5"/>
    <mergeCell ref="AV6:AW6"/>
    <mergeCell ref="AV7:AW7"/>
    <mergeCell ref="AV8:AW8"/>
    <mergeCell ref="AV9:AW9"/>
    <mergeCell ref="AV10:AW10"/>
    <mergeCell ref="AV23:AW23"/>
    <mergeCell ref="AV24:AW24"/>
    <mergeCell ref="AV25:AW25"/>
    <mergeCell ref="AV26:AW26"/>
    <mergeCell ref="AV27:AW27"/>
    <mergeCell ref="AV28:AW28"/>
    <mergeCell ref="AV17:AW17"/>
    <mergeCell ref="AV18:AW18"/>
    <mergeCell ref="AV19:AW19"/>
    <mergeCell ref="AV20:AW20"/>
    <mergeCell ref="AV21:AW21"/>
    <mergeCell ref="AV22:AW22"/>
    <mergeCell ref="AV35:AW35"/>
    <mergeCell ref="AV36:AW36"/>
    <mergeCell ref="AV37:AW37"/>
    <mergeCell ref="AV38:AW38"/>
    <mergeCell ref="AV39:AW39"/>
    <mergeCell ref="AV40:AW40"/>
    <mergeCell ref="AV29:AW29"/>
    <mergeCell ref="AV30:AW30"/>
    <mergeCell ref="AV31:AW31"/>
    <mergeCell ref="AV32:AW32"/>
    <mergeCell ref="AV33:AW33"/>
    <mergeCell ref="AV34:AW34"/>
    <mergeCell ref="AV47:AW47"/>
    <mergeCell ref="AV48:AW48"/>
    <mergeCell ref="AV49:AW49"/>
    <mergeCell ref="AV50:AW50"/>
    <mergeCell ref="AV51:AW51"/>
    <mergeCell ref="AV52:AW52"/>
    <mergeCell ref="AV41:AW41"/>
    <mergeCell ref="AV42:AW42"/>
    <mergeCell ref="AV43:AW43"/>
    <mergeCell ref="AV44:AW44"/>
    <mergeCell ref="AV45:AW45"/>
    <mergeCell ref="AV46:AW46"/>
    <mergeCell ref="AV59:AW59"/>
    <mergeCell ref="AV60:AW60"/>
    <mergeCell ref="AV61:AW61"/>
    <mergeCell ref="AV62:AW62"/>
    <mergeCell ref="AV63:AW63"/>
    <mergeCell ref="AV64:AW64"/>
    <mergeCell ref="AV53:AW53"/>
    <mergeCell ref="AV54:AW54"/>
    <mergeCell ref="AV55:AW55"/>
    <mergeCell ref="AV56:AW56"/>
    <mergeCell ref="AV57:AW57"/>
    <mergeCell ref="AV58:AW58"/>
    <mergeCell ref="AV71:AW71"/>
    <mergeCell ref="AV72:AW72"/>
    <mergeCell ref="AV73:AW73"/>
    <mergeCell ref="AV74:AW74"/>
    <mergeCell ref="AV75:AW75"/>
    <mergeCell ref="AV76:AW76"/>
    <mergeCell ref="AV65:AW65"/>
    <mergeCell ref="AV66:AW66"/>
    <mergeCell ref="AV67:AW67"/>
    <mergeCell ref="AV68:AW68"/>
    <mergeCell ref="AV69:AW69"/>
    <mergeCell ref="AV70:AW70"/>
    <mergeCell ref="AV83:AW83"/>
    <mergeCell ref="AV84:AW84"/>
    <mergeCell ref="AV85:AW85"/>
    <mergeCell ref="AV86:AW86"/>
    <mergeCell ref="AV87:AW87"/>
    <mergeCell ref="AV88:AW88"/>
    <mergeCell ref="AV77:AW77"/>
    <mergeCell ref="AV78:AW78"/>
    <mergeCell ref="AV79:AW79"/>
    <mergeCell ref="AV80:AW80"/>
    <mergeCell ref="AV81:AW81"/>
    <mergeCell ref="AV82:AW82"/>
    <mergeCell ref="AV95:AW95"/>
    <mergeCell ref="AV96:AW96"/>
    <mergeCell ref="AV97:AW97"/>
    <mergeCell ref="AV98:AW98"/>
    <mergeCell ref="AV99:AW99"/>
    <mergeCell ref="AV100:AW100"/>
    <mergeCell ref="AV89:AW89"/>
    <mergeCell ref="AV90:AW90"/>
    <mergeCell ref="AV91:AW91"/>
    <mergeCell ref="AV92:AW92"/>
    <mergeCell ref="AV93:AW93"/>
    <mergeCell ref="AV94:AW94"/>
  </mergeCells>
  <phoneticPr fontId="42" type="noConversion"/>
  <conditionalFormatting sqref="AM6:AM37">
    <cfRule type="containsText" dxfId="85" priority="42" operator="containsText" text="Pls check Quantity of each section">
      <formula>NOT(ISERROR(SEARCH("Pls check Quantity of each section",AM6)))</formula>
    </cfRule>
  </conditionalFormatting>
  <conditionalFormatting sqref="AM39:AM42 AM99:AM100 AM67 AM77:AM97 AM44 AM55:AM61 AM63:AM65">
    <cfRule type="containsText" dxfId="84" priority="43" operator="containsText" text="Pls check Quantity of each section">
      <formula>NOT(ISERROR(SEARCH("Pls check Quantity of each section",AM39)))</formula>
    </cfRule>
  </conditionalFormatting>
  <conditionalFormatting sqref="AM98">
    <cfRule type="containsText" dxfId="83" priority="41" operator="containsText" text="Pls check Quantity of each section">
      <formula>NOT(ISERROR(SEARCH("Pls check Quantity of each section",AM98)))</formula>
    </cfRule>
  </conditionalFormatting>
  <conditionalFormatting sqref="AM66">
    <cfRule type="containsText" dxfId="82" priority="40" operator="containsText" text="Pls check Quantity of each section">
      <formula>NOT(ISERROR(SEARCH("Pls check Quantity of each section",AM66)))</formula>
    </cfRule>
  </conditionalFormatting>
  <conditionalFormatting sqref="AM68">
    <cfRule type="containsText" dxfId="81" priority="39" operator="containsText" text="Pls check Quantity of each section">
      <formula>NOT(ISERROR(SEARCH("Pls check Quantity of each section",AM68)))</formula>
    </cfRule>
  </conditionalFormatting>
  <conditionalFormatting sqref="AM69">
    <cfRule type="containsText" dxfId="80" priority="38" operator="containsText" text="Pls check Quantity of each section">
      <formula>NOT(ISERROR(SEARCH("Pls check Quantity of each section",AM69)))</formula>
    </cfRule>
  </conditionalFormatting>
  <conditionalFormatting sqref="AM70">
    <cfRule type="containsText" dxfId="79" priority="37" operator="containsText" text="Pls check Quantity of each section">
      <formula>NOT(ISERROR(SEARCH("Pls check Quantity of each section",AM70)))</formula>
    </cfRule>
  </conditionalFormatting>
  <conditionalFormatting sqref="AM71">
    <cfRule type="containsText" dxfId="78" priority="36" operator="containsText" text="Pls check Quantity of each section">
      <formula>NOT(ISERROR(SEARCH("Pls check Quantity of each section",AM71)))</formula>
    </cfRule>
  </conditionalFormatting>
  <conditionalFormatting sqref="AM72">
    <cfRule type="containsText" dxfId="77" priority="35" operator="containsText" text="Pls check Quantity of each section">
      <formula>NOT(ISERROR(SEARCH("Pls check Quantity of each section",AM72)))</formula>
    </cfRule>
  </conditionalFormatting>
  <conditionalFormatting sqref="AM73">
    <cfRule type="containsText" dxfId="76" priority="34" operator="containsText" text="Pls check Quantity of each section">
      <formula>NOT(ISERROR(SEARCH("Pls check Quantity of each section",AM73)))</formula>
    </cfRule>
  </conditionalFormatting>
  <conditionalFormatting sqref="AM74">
    <cfRule type="containsText" dxfId="75" priority="33" operator="containsText" text="Pls check Quantity of each section">
      <formula>NOT(ISERROR(SEARCH("Pls check Quantity of each section",AM74)))</formula>
    </cfRule>
  </conditionalFormatting>
  <conditionalFormatting sqref="AM75">
    <cfRule type="containsText" dxfId="74" priority="32" operator="containsText" text="Pls check Quantity of each section">
      <formula>NOT(ISERROR(SEARCH("Pls check Quantity of each section",AM75)))</formula>
    </cfRule>
  </conditionalFormatting>
  <conditionalFormatting sqref="AM76">
    <cfRule type="containsText" dxfId="73" priority="31" operator="containsText" text="Pls check Quantity of each section">
      <formula>NOT(ISERROR(SEARCH("Pls check Quantity of each section",AM76)))</formula>
    </cfRule>
  </conditionalFormatting>
  <conditionalFormatting sqref="AQ6:AQ42">
    <cfRule type="containsText" dxfId="72" priority="29" operator="containsText" text="Pls check Quantity of each section">
      <formula>NOT(ISERROR(SEARCH("Pls check Quantity of each section",AQ6)))</formula>
    </cfRule>
  </conditionalFormatting>
  <conditionalFormatting sqref="AQ5">
    <cfRule type="containsText" dxfId="71" priority="28" operator="containsText" text="Pls check Quantity of each section">
      <formula>NOT(ISERROR(SEARCH("Pls check Quantity of each section",AQ5)))</formula>
    </cfRule>
  </conditionalFormatting>
  <conditionalFormatting sqref="AM43">
    <cfRule type="containsText" dxfId="70" priority="27" operator="containsText" text="Pls check Quantity of each section">
      <formula>NOT(ISERROR(SEARCH("Pls check Quantity of each section",AM43)))</formula>
    </cfRule>
  </conditionalFormatting>
  <conditionalFormatting sqref="AQ43">
    <cfRule type="containsText" dxfId="69" priority="26" operator="containsText" text="Pls check Quantity of each section">
      <formula>NOT(ISERROR(SEARCH("Pls check Quantity of each section",AQ43)))</formula>
    </cfRule>
  </conditionalFormatting>
  <conditionalFormatting sqref="AQ44">
    <cfRule type="containsText" dxfId="68" priority="25" operator="containsText" text="Pls check Quantity of each section">
      <formula>NOT(ISERROR(SEARCH("Pls check Quantity of each section",AQ44)))</formula>
    </cfRule>
  </conditionalFormatting>
  <conditionalFormatting sqref="AM45">
    <cfRule type="containsText" dxfId="67" priority="24" operator="containsText" text="Pls check Quantity of each section">
      <formula>NOT(ISERROR(SEARCH("Pls check Quantity of each section",AM45)))</formula>
    </cfRule>
  </conditionalFormatting>
  <conditionalFormatting sqref="AQ45">
    <cfRule type="containsText" dxfId="66" priority="23" operator="containsText" text="Pls check Quantity of each section">
      <formula>NOT(ISERROR(SEARCH("Pls check Quantity of each section",AQ45)))</formula>
    </cfRule>
  </conditionalFormatting>
  <conditionalFormatting sqref="AM46">
    <cfRule type="containsText" dxfId="65" priority="22" operator="containsText" text="Pls check Quantity of each section">
      <formula>NOT(ISERROR(SEARCH("Pls check Quantity of each section",AM46)))</formula>
    </cfRule>
  </conditionalFormatting>
  <conditionalFormatting sqref="AQ46">
    <cfRule type="containsText" dxfId="64" priority="21" operator="containsText" text="Pls check Quantity of each section">
      <formula>NOT(ISERROR(SEARCH("Pls check Quantity of each section",AQ46)))</formula>
    </cfRule>
  </conditionalFormatting>
  <conditionalFormatting sqref="AM47">
    <cfRule type="containsText" dxfId="63" priority="20" operator="containsText" text="Pls check Quantity of each section">
      <formula>NOT(ISERROR(SEARCH("Pls check Quantity of each section",AM47)))</formula>
    </cfRule>
  </conditionalFormatting>
  <conditionalFormatting sqref="AQ47">
    <cfRule type="containsText" dxfId="62" priority="19" operator="containsText" text="Pls check Quantity of each section">
      <formula>NOT(ISERROR(SEARCH("Pls check Quantity of each section",AQ47)))</formula>
    </cfRule>
  </conditionalFormatting>
  <conditionalFormatting sqref="AM48">
    <cfRule type="containsText" dxfId="61" priority="18" operator="containsText" text="Pls check Quantity of each section">
      <formula>NOT(ISERROR(SEARCH("Pls check Quantity of each section",AM48)))</formula>
    </cfRule>
  </conditionalFormatting>
  <conditionalFormatting sqref="AQ48">
    <cfRule type="containsText" dxfId="60" priority="17" operator="containsText" text="Pls check Quantity of each section">
      <formula>NOT(ISERROR(SEARCH("Pls check Quantity of each section",AQ48)))</formula>
    </cfRule>
  </conditionalFormatting>
  <conditionalFormatting sqref="AM49">
    <cfRule type="containsText" dxfId="59" priority="16" operator="containsText" text="Pls check Quantity of each section">
      <formula>NOT(ISERROR(SEARCH("Pls check Quantity of each section",AM49)))</formula>
    </cfRule>
  </conditionalFormatting>
  <conditionalFormatting sqref="AQ49">
    <cfRule type="containsText" dxfId="58" priority="15" operator="containsText" text="Pls check Quantity of each section">
      <formula>NOT(ISERROR(SEARCH("Pls check Quantity of each section",AQ49)))</formula>
    </cfRule>
  </conditionalFormatting>
  <conditionalFormatting sqref="AM50">
    <cfRule type="containsText" dxfId="57" priority="14" operator="containsText" text="Pls check Quantity of each section">
      <formula>NOT(ISERROR(SEARCH("Pls check Quantity of each section",AM50)))</formula>
    </cfRule>
  </conditionalFormatting>
  <conditionalFormatting sqref="AQ50">
    <cfRule type="containsText" dxfId="56" priority="13" operator="containsText" text="Pls check Quantity of each section">
      <formula>NOT(ISERROR(SEARCH("Pls check Quantity of each section",AQ50)))</formula>
    </cfRule>
  </conditionalFormatting>
  <conditionalFormatting sqref="AM51">
    <cfRule type="containsText" dxfId="55" priority="12" operator="containsText" text="Pls check Quantity of each section">
      <formula>NOT(ISERROR(SEARCH("Pls check Quantity of each section",AM51)))</formula>
    </cfRule>
  </conditionalFormatting>
  <conditionalFormatting sqref="AQ51">
    <cfRule type="containsText" dxfId="54" priority="11" operator="containsText" text="Pls check Quantity of each section">
      <formula>NOT(ISERROR(SEARCH("Pls check Quantity of each section",AQ51)))</formula>
    </cfRule>
  </conditionalFormatting>
  <conditionalFormatting sqref="AM52">
    <cfRule type="containsText" dxfId="53" priority="10" operator="containsText" text="Pls check Quantity of each section">
      <formula>NOT(ISERROR(SEARCH("Pls check Quantity of each section",AM52)))</formula>
    </cfRule>
  </conditionalFormatting>
  <conditionalFormatting sqref="AQ52">
    <cfRule type="containsText" dxfId="52" priority="9" operator="containsText" text="Pls check Quantity of each section">
      <formula>NOT(ISERROR(SEARCH("Pls check Quantity of each section",AQ52)))</formula>
    </cfRule>
  </conditionalFormatting>
  <conditionalFormatting sqref="AM53">
    <cfRule type="containsText" dxfId="51" priority="8" operator="containsText" text="Pls check Quantity of each section">
      <formula>NOT(ISERROR(SEARCH("Pls check Quantity of each section",AM53)))</formula>
    </cfRule>
  </conditionalFormatting>
  <conditionalFormatting sqref="AQ53">
    <cfRule type="containsText" dxfId="50" priority="7" operator="containsText" text="Pls check Quantity of each section">
      <formula>NOT(ISERROR(SEARCH("Pls check Quantity of each section",AQ53)))</formula>
    </cfRule>
  </conditionalFormatting>
  <conditionalFormatting sqref="AQ55:AQ61">
    <cfRule type="containsText" dxfId="49" priority="5" operator="containsText" text="Pls check Quantity of each section">
      <formula>NOT(ISERROR(SEARCH("Pls check Quantity of each section",AQ55)))</formula>
    </cfRule>
  </conditionalFormatting>
  <conditionalFormatting sqref="AM54">
    <cfRule type="containsText" dxfId="48" priority="4" operator="containsText" text="Pls check Quantity of each section">
      <formula>NOT(ISERROR(SEARCH("Pls check Quantity of each section",AM54)))</formula>
    </cfRule>
  </conditionalFormatting>
  <conditionalFormatting sqref="AQ54">
    <cfRule type="containsText" dxfId="47" priority="3" operator="containsText" text="Pls check Quantity of each section">
      <formula>NOT(ISERROR(SEARCH("Pls check Quantity of each section",AQ54)))</formula>
    </cfRule>
  </conditionalFormatting>
  <conditionalFormatting sqref="AM62">
    <cfRule type="containsText" dxfId="46" priority="2" operator="containsText" text="Pls check Quantity of each section">
      <formula>NOT(ISERROR(SEARCH("Pls check Quantity of each section",AM62)))</formula>
    </cfRule>
  </conditionalFormatting>
  <conditionalFormatting sqref="AQ62:AQ101">
    <cfRule type="containsText" dxfId="45" priority="1" operator="containsText" text="Pls check Quantity of each section">
      <formula>NOT(ISERROR(SEARCH("Pls check Quantity of each section",AQ62)))</formula>
    </cfRule>
  </conditionalFormatting>
  <dataValidations count="15">
    <dataValidation type="decimal" allowBlank="1" showInputMessage="1" showErrorMessage="1" sqref="V5:Z100" xr:uid="{00000000-0002-0000-0100-000000000000}">
      <formula1>0</formula1>
      <formula2>25</formula2>
    </dataValidation>
    <dataValidation type="decimal" allowBlank="1" showInputMessage="1" showErrorMessage="1" sqref="AQ1048574:AQ1048576 AI28 AH26:AI27 AH29:AI36 AJ26:AJ37 AH97:AL100 AQ5 AH78:AJ96 AL6:AL10 AH5:AK25 AR5:AS100 AH37:AH77 AM6:AQ100 AI38:AJ77 AK26:AK96 AL14:AL96 U5:U100 AQ101" xr:uid="{00000000-0002-0000-0100-000001000000}">
      <formula1>0</formula1>
      <formula2>100000</formula2>
    </dataValidation>
    <dataValidation type="decimal" allowBlank="1" showInputMessage="1" showErrorMessage="1" sqref="AB5:AB17 AB30:AB100 S5:S100" xr:uid="{00000000-0002-0000-0100-000002000000}">
      <formula1>0</formula1>
      <formula2>30</formula2>
    </dataValidation>
    <dataValidation type="list" allowBlank="1" showInputMessage="1" showErrorMessage="1" sqref="N5:N100" xr:uid="{00000000-0002-0000-0100-000003000000}">
      <formula1>"0,1,2,3,4,5,6,7,8,9,10,11,12,13,14,15"</formula1>
    </dataValidation>
    <dataValidation type="list" allowBlank="1" showInputMessage="1" showErrorMessage="1" sqref="O5:O100" xr:uid="{00000000-0002-0000-0100-000004000000}">
      <formula1>"0,1,2,3,4,5,6,7,8,9,10,11,12,13,14,15,16,17"</formula1>
    </dataValidation>
    <dataValidation type="list" allowBlank="1" showInputMessage="1" showErrorMessage="1" sqref="P5:P100" xr:uid="{00000000-0002-0000-0100-000005000000}">
      <formula1>"0,1,2,3,4,5,6,7,8,9"</formula1>
    </dataValidation>
    <dataValidation type="list" allowBlank="1" showInputMessage="1" showErrorMessage="1" sqref="Q5:Q100" xr:uid="{00000000-0002-0000-0100-000006000000}">
      <formula1>"0,1,2,3,4,5,6,7,8"</formula1>
    </dataValidation>
    <dataValidation type="whole" allowBlank="1" showInputMessage="1" showErrorMessage="1" sqref="J5:J100" xr:uid="{00000000-0002-0000-0100-000007000000}">
      <formula1>0</formula1>
      <formula2>180</formula2>
    </dataValidation>
    <dataValidation type="whole" allowBlank="1" showInputMessage="1" showErrorMessage="1" sqref="G5:G100" xr:uid="{00000000-0002-0000-0100-000008000000}">
      <formula1>0</formula1>
      <formula2>90</formula2>
    </dataValidation>
    <dataValidation type="decimal" allowBlank="1" showInputMessage="1" showErrorMessage="1" sqref="K5:K100 H5:H100" xr:uid="{00000000-0002-0000-0100-000009000000}">
      <formula1>0</formula1>
      <formula2>60</formula2>
    </dataValidation>
    <dataValidation type="decimal" allowBlank="1" showInputMessage="1" showErrorMessage="1" sqref="F5:F100" xr:uid="{00000000-0002-0000-0100-00000A000000}">
      <formula1>-11</formula1>
      <formula2>13</formula2>
    </dataValidation>
    <dataValidation type="list" operator="equal" allowBlank="1" showInputMessage="1" showErrorMessage="1" sqref="I5:I100" xr:uid="{00000000-0002-0000-0100-00000B000000}">
      <formula1>"N,S"</formula1>
    </dataValidation>
    <dataValidation type="list" operator="equal" allowBlank="1" showInputMessage="1" showErrorMessage="1" sqref="L5:L100" xr:uid="{00000000-0002-0000-0100-00000C000000}">
      <formula1>"E,W"</formula1>
    </dataValidation>
    <dataValidation type="list" operator="equal" allowBlank="1" showInputMessage="1" showErrorMessage="1" sqref="M5:M100" xr:uid="{00000000-0002-0000-0100-00000D000000}">
      <formula1>"A,B,C,D,E,F,G,H,L,M,O,P,Q,R,S,T,U,V,W,X,Z"</formula1>
    </dataValidation>
    <dataValidation type="decimal" allowBlank="1" showInputMessage="1" showErrorMessage="1" sqref="AB18:AB29 AA5:AA100" xr:uid="{00000000-0002-0000-0100-00000E000000}">
      <formula1>0</formula1>
      <formula2>625</formula2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W1048574"/>
  <sheetViews>
    <sheetView zoomScale="85" zoomScaleNormal="85" zoomScaleSheetLayoutView="70" workbookViewId="0">
      <pane xSplit="5" ySplit="4" topLeftCell="AF89" activePane="bottomRight" state="frozen"/>
      <selection pane="topRight" activeCell="F1" sqref="F1"/>
      <selection pane="bottomLeft" activeCell="A5" sqref="A5"/>
      <selection pane="bottomRight" activeCell="AJ6" sqref="AJ6"/>
    </sheetView>
  </sheetViews>
  <sheetFormatPr defaultColWidth="9" defaultRowHeight="13.5"/>
  <cols>
    <col min="1" max="1" width="15.54296875" style="1" customWidth="1"/>
    <col min="2" max="2" width="14" style="1" customWidth="1"/>
    <col min="3" max="3" width="13.54296875" style="1" customWidth="1"/>
    <col min="4" max="4" width="14.453125" style="1" customWidth="1"/>
    <col min="5" max="5" width="17" style="3" customWidth="1"/>
    <col min="6" max="6" width="18.1796875" style="3" customWidth="1"/>
    <col min="7" max="7" width="6.54296875" style="6" customWidth="1"/>
    <col min="8" max="9" width="6.54296875" style="5" customWidth="1"/>
    <col min="10" max="10" width="6.54296875" style="6" customWidth="1"/>
    <col min="11" max="11" width="6.54296875" style="5" customWidth="1"/>
    <col min="12" max="12" width="5.54296875" style="5" customWidth="1"/>
    <col min="13" max="13" width="8.453125" style="5" customWidth="1"/>
    <col min="14" max="14" width="9.54296875" style="5" customWidth="1"/>
    <col min="15" max="17" width="6.54296875" style="5" customWidth="1"/>
    <col min="18" max="19" width="6.54296875" style="1" customWidth="1"/>
    <col min="20" max="20" width="7.54296875" style="1" customWidth="1"/>
    <col min="21" max="21" width="13.453125" style="1" customWidth="1"/>
    <col min="22" max="22" width="6.54296875" style="1" customWidth="1"/>
    <col min="23" max="23" width="12.453125" style="1" customWidth="1"/>
    <col min="24" max="26" width="10.54296875" style="1" customWidth="1"/>
    <col min="27" max="27" width="10.54296875" style="5" customWidth="1"/>
    <col min="28" max="28" width="8.54296875" style="5" customWidth="1"/>
    <col min="29" max="29" width="13" style="5" customWidth="1"/>
    <col min="30" max="31" width="15" style="6" customWidth="1"/>
    <col min="32" max="32" width="11.453125" style="6" customWidth="1"/>
    <col min="33" max="33" width="10.453125" style="6" customWidth="1"/>
    <col min="34" max="37" width="23.453125" style="2" customWidth="1"/>
    <col min="38" max="38" width="16.54296875" style="2" customWidth="1"/>
    <col min="39" max="42" width="8.54296875" style="2" customWidth="1"/>
    <col min="43" max="43" width="10.54296875" style="14" bestFit="1" customWidth="1"/>
    <col min="44" max="45" width="8.54296875" style="14" customWidth="1"/>
    <col min="46" max="46" width="15" style="15" hidden="1" customWidth="1"/>
    <col min="47" max="47" width="15" style="51" customWidth="1"/>
    <col min="48" max="48" width="10.453125" style="15" customWidth="1"/>
    <col min="49" max="49" width="19.453125" style="1" customWidth="1"/>
    <col min="50" max="16384" width="9" style="1"/>
  </cols>
  <sheetData>
    <row r="1" spans="1:49" ht="28.4" customHeight="1">
      <c r="A1" s="82" t="s">
        <v>110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4"/>
      <c r="AE1" s="84"/>
      <c r="AF1" s="84"/>
      <c r="AG1" s="84"/>
      <c r="AH1" s="84"/>
      <c r="AI1" s="84"/>
      <c r="AJ1" s="84"/>
      <c r="AK1" s="84"/>
      <c r="AL1" s="84"/>
      <c r="AM1" s="84"/>
      <c r="AN1" s="84"/>
      <c r="AO1" s="84"/>
      <c r="AP1" s="84"/>
      <c r="AQ1" s="84"/>
      <c r="AR1" s="84"/>
      <c r="AS1" s="84"/>
      <c r="AT1" s="84"/>
      <c r="AU1" s="84"/>
      <c r="AV1" s="84"/>
      <c r="AW1" s="84"/>
    </row>
    <row r="2" spans="1:49" s="2" customFormat="1" ht="53.25" customHeight="1">
      <c r="A2" s="85" t="s">
        <v>14</v>
      </c>
      <c r="B2" s="85" t="s">
        <v>0</v>
      </c>
      <c r="C2" s="86" t="s">
        <v>27</v>
      </c>
      <c r="D2" s="86" t="s">
        <v>28</v>
      </c>
      <c r="E2" s="87" t="s">
        <v>25</v>
      </c>
      <c r="F2" s="89" t="s">
        <v>26</v>
      </c>
      <c r="G2" s="92" t="s">
        <v>1</v>
      </c>
      <c r="H2" s="93"/>
      <c r="I2" s="93"/>
      <c r="J2" s="93"/>
      <c r="K2" s="94"/>
      <c r="L2" s="95"/>
      <c r="M2" s="96" t="s">
        <v>15</v>
      </c>
      <c r="N2" s="97"/>
      <c r="O2" s="97"/>
      <c r="P2" s="97"/>
      <c r="Q2" s="98"/>
      <c r="R2" s="99" t="s">
        <v>19</v>
      </c>
      <c r="S2" s="99"/>
      <c r="T2" s="89" t="s">
        <v>7</v>
      </c>
      <c r="U2" s="116" t="s">
        <v>95</v>
      </c>
      <c r="V2" s="117" t="s">
        <v>37</v>
      </c>
      <c r="W2" s="118"/>
      <c r="X2" s="118"/>
      <c r="Y2" s="118"/>
      <c r="Z2" s="119"/>
      <c r="AA2" s="39" t="s">
        <v>20</v>
      </c>
      <c r="AB2" s="111" t="s">
        <v>111</v>
      </c>
      <c r="AC2" s="120" t="s">
        <v>105</v>
      </c>
      <c r="AD2" s="121"/>
      <c r="AE2" s="121"/>
      <c r="AF2" s="121"/>
      <c r="AG2" s="119"/>
      <c r="AH2" s="117" t="s">
        <v>98</v>
      </c>
      <c r="AI2" s="121"/>
      <c r="AJ2" s="121"/>
      <c r="AK2" s="119"/>
      <c r="AL2" s="126" t="s">
        <v>30</v>
      </c>
      <c r="AM2" s="134" t="s">
        <v>31</v>
      </c>
      <c r="AN2" s="135"/>
      <c r="AO2" s="135"/>
      <c r="AP2" s="135"/>
      <c r="AQ2" s="100" t="s">
        <v>34</v>
      </c>
      <c r="AR2" s="101"/>
      <c r="AS2" s="100"/>
      <c r="AT2" s="102" t="s">
        <v>39</v>
      </c>
      <c r="AU2" s="102" t="s">
        <v>39</v>
      </c>
      <c r="AV2" s="105" t="s">
        <v>35</v>
      </c>
      <c r="AW2" s="106"/>
    </row>
    <row r="3" spans="1:49" s="2" customFormat="1" ht="34.5" customHeight="1">
      <c r="A3" s="85"/>
      <c r="B3" s="85"/>
      <c r="C3" s="86"/>
      <c r="D3" s="86"/>
      <c r="E3" s="87"/>
      <c r="F3" s="90"/>
      <c r="G3" s="92" t="s">
        <v>21</v>
      </c>
      <c r="H3" s="93"/>
      <c r="I3" s="95"/>
      <c r="J3" s="92" t="s">
        <v>13</v>
      </c>
      <c r="K3" s="93"/>
      <c r="L3" s="95"/>
      <c r="M3" s="124" t="s">
        <v>15</v>
      </c>
      <c r="N3" s="111" t="s">
        <v>9</v>
      </c>
      <c r="O3" s="111" t="s">
        <v>22</v>
      </c>
      <c r="P3" s="111" t="s">
        <v>10</v>
      </c>
      <c r="Q3" s="111" t="s">
        <v>16</v>
      </c>
      <c r="R3" s="111" t="s">
        <v>23</v>
      </c>
      <c r="S3" s="111" t="s">
        <v>24</v>
      </c>
      <c r="T3" s="114"/>
      <c r="U3" s="103"/>
      <c r="V3" s="111" t="s">
        <v>11</v>
      </c>
      <c r="W3" s="111" t="s">
        <v>97</v>
      </c>
      <c r="X3" s="111" t="s">
        <v>29</v>
      </c>
      <c r="Y3" s="122" t="s">
        <v>106</v>
      </c>
      <c r="Z3" s="122" t="s">
        <v>107</v>
      </c>
      <c r="AA3" s="111" t="s">
        <v>97</v>
      </c>
      <c r="AB3" s="103"/>
      <c r="AC3" s="128" t="s">
        <v>101</v>
      </c>
      <c r="AD3" s="129" t="s">
        <v>102</v>
      </c>
      <c r="AE3" s="130" t="s">
        <v>112</v>
      </c>
      <c r="AF3" s="129" t="s">
        <v>103</v>
      </c>
      <c r="AG3" s="129" t="s">
        <v>104</v>
      </c>
      <c r="AH3" s="126" t="s">
        <v>99</v>
      </c>
      <c r="AI3" s="129" t="s">
        <v>100</v>
      </c>
      <c r="AJ3" s="126" t="s">
        <v>108</v>
      </c>
      <c r="AK3" s="111" t="s">
        <v>109</v>
      </c>
      <c r="AL3" s="132"/>
      <c r="AM3" s="127" t="s">
        <v>3</v>
      </c>
      <c r="AN3" s="113" t="s">
        <v>4</v>
      </c>
      <c r="AO3" s="113" t="s">
        <v>32</v>
      </c>
      <c r="AP3" s="113" t="s">
        <v>33</v>
      </c>
      <c r="AQ3" s="111" t="s">
        <v>3</v>
      </c>
      <c r="AR3" s="113" t="s">
        <v>32</v>
      </c>
      <c r="AS3" s="113" t="s">
        <v>36</v>
      </c>
      <c r="AT3" s="103"/>
      <c r="AU3" s="90"/>
      <c r="AV3" s="107"/>
      <c r="AW3" s="108"/>
    </row>
    <row r="4" spans="1:49" s="2" customFormat="1" ht="182.25" customHeight="1">
      <c r="A4" s="85"/>
      <c r="B4" s="85"/>
      <c r="C4" s="86"/>
      <c r="D4" s="86"/>
      <c r="E4" s="88"/>
      <c r="F4" s="91"/>
      <c r="G4" s="22" t="s">
        <v>17</v>
      </c>
      <c r="H4" s="22" t="s">
        <v>8</v>
      </c>
      <c r="I4" s="22" t="s">
        <v>18</v>
      </c>
      <c r="J4" s="22" t="s">
        <v>17</v>
      </c>
      <c r="K4" s="22" t="s">
        <v>8</v>
      </c>
      <c r="L4" s="22" t="s">
        <v>12</v>
      </c>
      <c r="M4" s="125"/>
      <c r="N4" s="112"/>
      <c r="O4" s="112"/>
      <c r="P4" s="112"/>
      <c r="Q4" s="112"/>
      <c r="R4" s="112"/>
      <c r="S4" s="112"/>
      <c r="T4" s="115"/>
      <c r="U4" s="104"/>
      <c r="V4" s="112" t="s">
        <v>11</v>
      </c>
      <c r="W4" s="104"/>
      <c r="X4" s="112"/>
      <c r="Y4" s="123"/>
      <c r="Z4" s="123"/>
      <c r="AA4" s="104"/>
      <c r="AB4" s="104"/>
      <c r="AC4" s="129"/>
      <c r="AD4" s="129"/>
      <c r="AE4" s="104"/>
      <c r="AF4" s="129"/>
      <c r="AG4" s="129"/>
      <c r="AH4" s="104"/>
      <c r="AI4" s="131"/>
      <c r="AJ4" s="123"/>
      <c r="AK4" s="112" t="s">
        <v>2</v>
      </c>
      <c r="AL4" s="133"/>
      <c r="AM4" s="112" t="s">
        <v>3</v>
      </c>
      <c r="AN4" s="91" t="s">
        <v>4</v>
      </c>
      <c r="AO4" s="91" t="s">
        <v>5</v>
      </c>
      <c r="AP4" s="91" t="s">
        <v>6</v>
      </c>
      <c r="AQ4" s="112" t="s">
        <v>3</v>
      </c>
      <c r="AR4" s="91" t="s">
        <v>5</v>
      </c>
      <c r="AS4" s="91" t="s">
        <v>5</v>
      </c>
      <c r="AT4" s="104"/>
      <c r="AU4" s="91"/>
      <c r="AV4" s="109"/>
      <c r="AW4" s="110"/>
    </row>
    <row r="5" spans="1:49" s="4" customFormat="1" ht="19.399999999999999" customHeight="1">
      <c r="A5" s="18" t="s">
        <v>134</v>
      </c>
      <c r="B5" s="18" t="s">
        <v>593</v>
      </c>
      <c r="C5" s="19" t="s">
        <v>127</v>
      </c>
      <c r="D5" s="19" t="s">
        <v>127</v>
      </c>
      <c r="E5" s="19" t="s">
        <v>599</v>
      </c>
      <c r="F5" s="58">
        <v>8</v>
      </c>
      <c r="G5" s="43">
        <v>22</v>
      </c>
      <c r="H5" s="44">
        <v>58.6</v>
      </c>
      <c r="I5" s="44" t="s">
        <v>38</v>
      </c>
      <c r="J5" s="43">
        <v>120</v>
      </c>
      <c r="K5" s="44">
        <v>10.5</v>
      </c>
      <c r="L5" s="44" t="s">
        <v>122</v>
      </c>
      <c r="M5" s="43" t="s">
        <v>115</v>
      </c>
      <c r="N5" s="45">
        <v>0</v>
      </c>
      <c r="O5" s="45">
        <v>2</v>
      </c>
      <c r="P5" s="45">
        <v>1</v>
      </c>
      <c r="Q5" s="45">
        <v>1</v>
      </c>
      <c r="R5" s="46">
        <v>3.95</v>
      </c>
      <c r="S5" s="46">
        <v>4.2</v>
      </c>
      <c r="T5" s="46">
        <v>286</v>
      </c>
      <c r="U5" s="47">
        <v>3096</v>
      </c>
      <c r="V5" s="23">
        <v>24</v>
      </c>
      <c r="W5" s="38">
        <v>0</v>
      </c>
      <c r="X5" s="38">
        <v>0</v>
      </c>
      <c r="Y5" s="38">
        <v>24</v>
      </c>
      <c r="Z5" s="38">
        <v>0</v>
      </c>
      <c r="AA5" s="44">
        <v>0</v>
      </c>
      <c r="AB5" s="44">
        <v>0</v>
      </c>
      <c r="AC5" s="52" t="s">
        <v>113</v>
      </c>
      <c r="AD5" s="19">
        <v>233</v>
      </c>
      <c r="AE5" s="48"/>
      <c r="AF5" s="40">
        <v>0</v>
      </c>
      <c r="AG5" s="19">
        <v>0</v>
      </c>
      <c r="AH5" s="21">
        <v>0</v>
      </c>
      <c r="AI5" s="21">
        <v>0</v>
      </c>
      <c r="AJ5" s="21">
        <v>1.6</v>
      </c>
      <c r="AK5" s="21">
        <v>0</v>
      </c>
      <c r="AL5" s="24">
        <f t="shared" ref="AL5:AL8" si="0">SUM(AH5:AK5)</f>
        <v>1.6</v>
      </c>
      <c r="AM5" s="12"/>
      <c r="AN5" s="12"/>
      <c r="AO5" s="12"/>
      <c r="AP5" s="12"/>
      <c r="AQ5" s="55">
        <v>224.5</v>
      </c>
      <c r="AR5" s="21"/>
      <c r="AS5" s="12">
        <v>184</v>
      </c>
      <c r="AT5" s="26"/>
      <c r="AU5" s="49"/>
      <c r="AV5" s="145"/>
      <c r="AW5" s="146"/>
    </row>
    <row r="6" spans="1:49" s="4" customFormat="1" ht="19.399999999999999" customHeight="1">
      <c r="A6" s="18" t="s">
        <v>134</v>
      </c>
      <c r="B6" s="18" t="s">
        <v>593</v>
      </c>
      <c r="C6" s="19" t="s">
        <v>127</v>
      </c>
      <c r="D6" s="19" t="s">
        <v>127</v>
      </c>
      <c r="E6" s="19" t="s">
        <v>600</v>
      </c>
      <c r="F6" s="58">
        <v>8</v>
      </c>
      <c r="G6" s="43">
        <v>22</v>
      </c>
      <c r="H6" s="44">
        <v>58.3</v>
      </c>
      <c r="I6" s="44" t="s">
        <v>38</v>
      </c>
      <c r="J6" s="43">
        <v>120</v>
      </c>
      <c r="K6" s="44">
        <v>10.4</v>
      </c>
      <c r="L6" s="44" t="s">
        <v>122</v>
      </c>
      <c r="M6" s="43" t="s">
        <v>115</v>
      </c>
      <c r="N6" s="45">
        <v>0</v>
      </c>
      <c r="O6" s="45">
        <v>2</v>
      </c>
      <c r="P6" s="45">
        <v>1</v>
      </c>
      <c r="Q6" s="45">
        <v>1</v>
      </c>
      <c r="R6" s="46">
        <v>3.95</v>
      </c>
      <c r="S6" s="46">
        <v>4.2</v>
      </c>
      <c r="T6" s="46">
        <v>286</v>
      </c>
      <c r="U6" s="47">
        <v>3096</v>
      </c>
      <c r="V6" s="23">
        <v>24</v>
      </c>
      <c r="W6" s="38">
        <v>0</v>
      </c>
      <c r="X6" s="38">
        <v>1</v>
      </c>
      <c r="Y6" s="38">
        <v>23</v>
      </c>
      <c r="Z6" s="38">
        <v>0</v>
      </c>
      <c r="AA6" s="44">
        <v>0.4</v>
      </c>
      <c r="AB6" s="44">
        <v>0</v>
      </c>
      <c r="AC6" s="52" t="s">
        <v>569</v>
      </c>
      <c r="AD6" s="19">
        <v>222</v>
      </c>
      <c r="AE6" s="40"/>
      <c r="AF6" s="40">
        <v>0</v>
      </c>
      <c r="AG6" s="19">
        <v>0</v>
      </c>
      <c r="AH6" s="21">
        <v>0.2</v>
      </c>
      <c r="AI6" s="21">
        <v>0.1</v>
      </c>
      <c r="AJ6" s="21">
        <v>1.4</v>
      </c>
      <c r="AK6" s="21">
        <v>0</v>
      </c>
      <c r="AL6" s="24">
        <f t="shared" si="0"/>
        <v>1.7</v>
      </c>
      <c r="AM6" s="12"/>
      <c r="AN6" s="12"/>
      <c r="AO6" s="12"/>
      <c r="AP6" s="12"/>
      <c r="AQ6" s="55">
        <f t="shared" ref="AQ6:AQ57" si="1">AQ5-AL6</f>
        <v>222.8</v>
      </c>
      <c r="AR6" s="21"/>
      <c r="AS6" s="12">
        <v>178</v>
      </c>
      <c r="AT6" s="26"/>
      <c r="AU6" s="49"/>
      <c r="AV6" s="136"/>
      <c r="AW6" s="137"/>
    </row>
    <row r="7" spans="1:49" s="4" customFormat="1" ht="19.399999999999999" customHeight="1">
      <c r="A7" s="18" t="s">
        <v>134</v>
      </c>
      <c r="B7" s="18" t="s">
        <v>593</v>
      </c>
      <c r="C7" s="19" t="s">
        <v>127</v>
      </c>
      <c r="D7" s="19" t="s">
        <v>127</v>
      </c>
      <c r="E7" s="19" t="s">
        <v>601</v>
      </c>
      <c r="F7" s="58">
        <v>8</v>
      </c>
      <c r="G7" s="43">
        <v>22</v>
      </c>
      <c r="H7" s="44">
        <v>58.3</v>
      </c>
      <c r="I7" s="44" t="s">
        <v>38</v>
      </c>
      <c r="J7" s="43">
        <v>120</v>
      </c>
      <c r="K7" s="44">
        <v>10.4</v>
      </c>
      <c r="L7" s="44" t="s">
        <v>122</v>
      </c>
      <c r="M7" s="43" t="s">
        <v>115</v>
      </c>
      <c r="N7" s="45">
        <v>0</v>
      </c>
      <c r="O7" s="45">
        <v>2</v>
      </c>
      <c r="P7" s="45">
        <v>1</v>
      </c>
      <c r="Q7" s="45">
        <v>1</v>
      </c>
      <c r="R7" s="46">
        <v>3.95</v>
      </c>
      <c r="S7" s="46">
        <v>4.2</v>
      </c>
      <c r="T7" s="46">
        <v>286</v>
      </c>
      <c r="U7" s="47">
        <v>3096</v>
      </c>
      <c r="V7" s="23">
        <v>24</v>
      </c>
      <c r="W7" s="38">
        <v>0</v>
      </c>
      <c r="X7" s="38">
        <v>0</v>
      </c>
      <c r="Y7" s="38">
        <v>24</v>
      </c>
      <c r="Z7" s="38">
        <v>0</v>
      </c>
      <c r="AA7" s="44">
        <v>0</v>
      </c>
      <c r="AB7" s="44">
        <v>0</v>
      </c>
      <c r="AC7" s="52" t="s">
        <v>569</v>
      </c>
      <c r="AD7" s="19">
        <v>244</v>
      </c>
      <c r="AE7" s="40"/>
      <c r="AF7" s="40">
        <v>0</v>
      </c>
      <c r="AG7" s="19">
        <v>0</v>
      </c>
      <c r="AH7" s="21">
        <v>0</v>
      </c>
      <c r="AI7" s="21">
        <v>0</v>
      </c>
      <c r="AJ7" s="21">
        <v>1.9</v>
      </c>
      <c r="AK7" s="21">
        <v>0</v>
      </c>
      <c r="AL7" s="24">
        <f t="shared" si="0"/>
        <v>1.9</v>
      </c>
      <c r="AM7" s="12"/>
      <c r="AN7" s="12"/>
      <c r="AO7" s="12"/>
      <c r="AP7" s="12"/>
      <c r="AQ7" s="55">
        <f t="shared" si="1"/>
        <v>220.9</v>
      </c>
      <c r="AR7" s="21"/>
      <c r="AS7" s="12">
        <v>175</v>
      </c>
      <c r="AT7" s="26"/>
      <c r="AU7" s="49"/>
      <c r="AV7" s="136"/>
      <c r="AW7" s="137"/>
    </row>
    <row r="8" spans="1:49" s="4" customFormat="1" ht="19.399999999999999" customHeight="1">
      <c r="A8" s="18" t="s">
        <v>134</v>
      </c>
      <c r="B8" s="18" t="s">
        <v>593</v>
      </c>
      <c r="C8" s="19" t="s">
        <v>127</v>
      </c>
      <c r="D8" s="19" t="s">
        <v>127</v>
      </c>
      <c r="E8" s="19" t="s">
        <v>602</v>
      </c>
      <c r="F8" s="58">
        <v>8</v>
      </c>
      <c r="G8" s="43">
        <v>22</v>
      </c>
      <c r="H8" s="44">
        <v>58.3</v>
      </c>
      <c r="I8" s="44" t="s">
        <v>38</v>
      </c>
      <c r="J8" s="43">
        <v>120</v>
      </c>
      <c r="K8" s="44">
        <v>10.4</v>
      </c>
      <c r="L8" s="44" t="s">
        <v>122</v>
      </c>
      <c r="M8" s="43" t="s">
        <v>603</v>
      </c>
      <c r="N8" s="45">
        <v>0</v>
      </c>
      <c r="O8" s="45">
        <v>2</v>
      </c>
      <c r="P8" s="45">
        <v>1</v>
      </c>
      <c r="Q8" s="45">
        <v>1</v>
      </c>
      <c r="R8" s="46">
        <v>3.95</v>
      </c>
      <c r="S8" s="46">
        <v>4.2</v>
      </c>
      <c r="T8" s="46">
        <v>286</v>
      </c>
      <c r="U8" s="47">
        <v>3096</v>
      </c>
      <c r="V8" s="23">
        <v>24</v>
      </c>
      <c r="W8" s="38">
        <v>0</v>
      </c>
      <c r="X8" s="38">
        <v>0</v>
      </c>
      <c r="Y8" s="38">
        <v>24</v>
      </c>
      <c r="Z8" s="38">
        <v>0</v>
      </c>
      <c r="AA8" s="44">
        <v>0</v>
      </c>
      <c r="AB8" s="44">
        <v>0</v>
      </c>
      <c r="AC8" s="52" t="s">
        <v>113</v>
      </c>
      <c r="AD8" s="19">
        <v>232</v>
      </c>
      <c r="AE8" s="40"/>
      <c r="AF8" s="40">
        <v>0</v>
      </c>
      <c r="AG8" s="19">
        <v>0</v>
      </c>
      <c r="AH8" s="21">
        <v>0</v>
      </c>
      <c r="AI8" s="21">
        <v>0</v>
      </c>
      <c r="AJ8" s="21">
        <v>1.6</v>
      </c>
      <c r="AK8" s="21">
        <v>0</v>
      </c>
      <c r="AL8" s="24">
        <f t="shared" si="0"/>
        <v>1.6</v>
      </c>
      <c r="AM8" s="12"/>
      <c r="AN8" s="12"/>
      <c r="AO8" s="12"/>
      <c r="AP8" s="12"/>
      <c r="AQ8" s="55">
        <f t="shared" si="1"/>
        <v>219.3</v>
      </c>
      <c r="AR8" s="21"/>
      <c r="AS8" s="12">
        <v>172</v>
      </c>
      <c r="AT8" s="26"/>
      <c r="AU8" s="49"/>
      <c r="AV8" s="136"/>
      <c r="AW8" s="137"/>
    </row>
    <row r="9" spans="1:49" s="4" customFormat="1" ht="19.399999999999999" customHeight="1">
      <c r="A9" s="18" t="s">
        <v>134</v>
      </c>
      <c r="B9" s="18" t="s">
        <v>593</v>
      </c>
      <c r="C9" s="19" t="s">
        <v>127</v>
      </c>
      <c r="D9" s="19" t="s">
        <v>127</v>
      </c>
      <c r="E9" s="19" t="s">
        <v>605</v>
      </c>
      <c r="F9" s="58">
        <v>8</v>
      </c>
      <c r="G9" s="43">
        <v>22</v>
      </c>
      <c r="H9" s="44">
        <v>58.3</v>
      </c>
      <c r="I9" s="44" t="s">
        <v>38</v>
      </c>
      <c r="J9" s="43">
        <v>120</v>
      </c>
      <c r="K9" s="44">
        <v>10.4</v>
      </c>
      <c r="L9" s="44" t="s">
        <v>122</v>
      </c>
      <c r="M9" s="43" t="s">
        <v>604</v>
      </c>
      <c r="N9" s="45">
        <v>0</v>
      </c>
      <c r="O9" s="45">
        <v>2</v>
      </c>
      <c r="P9" s="45">
        <v>1</v>
      </c>
      <c r="Q9" s="45">
        <v>1</v>
      </c>
      <c r="R9" s="46">
        <v>3.95</v>
      </c>
      <c r="S9" s="46">
        <v>4.2</v>
      </c>
      <c r="T9" s="46">
        <v>286</v>
      </c>
      <c r="U9" s="47">
        <v>3096</v>
      </c>
      <c r="V9" s="23">
        <v>24</v>
      </c>
      <c r="W9" s="38">
        <v>0</v>
      </c>
      <c r="X9" s="38">
        <v>0</v>
      </c>
      <c r="Y9" s="38">
        <v>24</v>
      </c>
      <c r="Z9" s="38">
        <v>0</v>
      </c>
      <c r="AA9" s="44">
        <v>0</v>
      </c>
      <c r="AB9" s="44">
        <v>0</v>
      </c>
      <c r="AC9" s="52" t="s">
        <v>113</v>
      </c>
      <c r="AD9" s="19">
        <v>238</v>
      </c>
      <c r="AE9" s="40"/>
      <c r="AF9" s="40">
        <v>0</v>
      </c>
      <c r="AG9" s="19">
        <v>0</v>
      </c>
      <c r="AH9" s="21">
        <v>0</v>
      </c>
      <c r="AI9" s="21">
        <v>0</v>
      </c>
      <c r="AJ9" s="21">
        <v>1.6</v>
      </c>
      <c r="AK9" s="21">
        <v>0</v>
      </c>
      <c r="AL9" s="24">
        <f t="shared" ref="AL9:AL100" si="2">SUM(AH9:AK9)</f>
        <v>1.6</v>
      </c>
      <c r="AM9" s="12"/>
      <c r="AN9" s="12"/>
      <c r="AO9" s="12"/>
      <c r="AP9" s="12"/>
      <c r="AQ9" s="55">
        <f t="shared" si="1"/>
        <v>217.70000000000002</v>
      </c>
      <c r="AR9" s="21"/>
      <c r="AS9" s="12">
        <v>168</v>
      </c>
      <c r="AT9" s="26"/>
      <c r="AU9" s="49"/>
      <c r="AV9" s="136"/>
      <c r="AW9" s="137"/>
    </row>
    <row r="10" spans="1:49" s="4" customFormat="1" ht="19.399999999999999" customHeight="1">
      <c r="A10" s="18" t="s">
        <v>134</v>
      </c>
      <c r="B10" s="18" t="s">
        <v>593</v>
      </c>
      <c r="C10" s="19" t="s">
        <v>127</v>
      </c>
      <c r="D10" s="19" t="s">
        <v>127</v>
      </c>
      <c r="E10" s="19" t="s">
        <v>606</v>
      </c>
      <c r="F10" s="58">
        <v>8</v>
      </c>
      <c r="G10" s="43">
        <v>22</v>
      </c>
      <c r="H10" s="44">
        <v>58.3</v>
      </c>
      <c r="I10" s="44" t="s">
        <v>38</v>
      </c>
      <c r="J10" s="43">
        <v>120</v>
      </c>
      <c r="K10" s="44">
        <v>10.4</v>
      </c>
      <c r="L10" s="44" t="s">
        <v>122</v>
      </c>
      <c r="M10" s="43" t="s">
        <v>115</v>
      </c>
      <c r="N10" s="45">
        <v>0</v>
      </c>
      <c r="O10" s="45">
        <v>2</v>
      </c>
      <c r="P10" s="45">
        <v>1</v>
      </c>
      <c r="Q10" s="45">
        <v>1</v>
      </c>
      <c r="R10" s="46">
        <v>3.95</v>
      </c>
      <c r="S10" s="46">
        <v>4.2</v>
      </c>
      <c r="T10" s="46">
        <v>286</v>
      </c>
      <c r="U10" s="47">
        <v>3096</v>
      </c>
      <c r="V10" s="23">
        <v>24</v>
      </c>
      <c r="W10" s="38">
        <v>0</v>
      </c>
      <c r="X10" s="38">
        <v>0</v>
      </c>
      <c r="Y10" s="38">
        <v>24</v>
      </c>
      <c r="Z10" s="38">
        <v>0</v>
      </c>
      <c r="AA10" s="44">
        <v>0</v>
      </c>
      <c r="AB10" s="44">
        <v>0</v>
      </c>
      <c r="AC10" s="52" t="s">
        <v>113</v>
      </c>
      <c r="AD10" s="19">
        <v>190</v>
      </c>
      <c r="AE10" s="40"/>
      <c r="AF10" s="40">
        <v>0</v>
      </c>
      <c r="AG10" s="19">
        <v>0</v>
      </c>
      <c r="AH10" s="21">
        <v>0</v>
      </c>
      <c r="AI10" s="21">
        <v>0</v>
      </c>
      <c r="AJ10" s="21">
        <v>1.6</v>
      </c>
      <c r="AK10" s="21">
        <v>0</v>
      </c>
      <c r="AL10" s="24">
        <f t="shared" si="2"/>
        <v>1.6</v>
      </c>
      <c r="AM10" s="12"/>
      <c r="AN10" s="12"/>
      <c r="AO10" s="12"/>
      <c r="AP10" s="12"/>
      <c r="AQ10" s="55">
        <f t="shared" si="1"/>
        <v>216.10000000000002</v>
      </c>
      <c r="AR10" s="21"/>
      <c r="AS10" s="12">
        <v>163</v>
      </c>
      <c r="AT10" s="26"/>
      <c r="AU10" s="49"/>
      <c r="AV10" s="136" t="s">
        <v>607</v>
      </c>
      <c r="AW10" s="137"/>
    </row>
    <row r="11" spans="1:49" s="4" customFormat="1" ht="19.399999999999999" customHeight="1">
      <c r="A11" s="18" t="s">
        <v>134</v>
      </c>
      <c r="B11" s="18" t="s">
        <v>593</v>
      </c>
      <c r="C11" s="19" t="s">
        <v>127</v>
      </c>
      <c r="D11" s="19" t="s">
        <v>127</v>
      </c>
      <c r="E11" s="19" t="s">
        <v>609</v>
      </c>
      <c r="F11" s="58">
        <v>8</v>
      </c>
      <c r="G11" s="43">
        <v>22</v>
      </c>
      <c r="H11" s="44">
        <v>58.3</v>
      </c>
      <c r="I11" s="44" t="s">
        <v>38</v>
      </c>
      <c r="J11" s="43">
        <v>120</v>
      </c>
      <c r="K11" s="44">
        <v>10.4</v>
      </c>
      <c r="L11" s="44" t="s">
        <v>122</v>
      </c>
      <c r="M11" s="43" t="s">
        <v>115</v>
      </c>
      <c r="N11" s="45">
        <v>0</v>
      </c>
      <c r="O11" s="45">
        <v>2</v>
      </c>
      <c r="P11" s="45">
        <v>1</v>
      </c>
      <c r="Q11" s="45">
        <v>1</v>
      </c>
      <c r="R11" s="46">
        <v>3.95</v>
      </c>
      <c r="S11" s="46">
        <v>4.2</v>
      </c>
      <c r="T11" s="46">
        <v>286</v>
      </c>
      <c r="U11" s="47">
        <v>3096</v>
      </c>
      <c r="V11" s="23">
        <v>24</v>
      </c>
      <c r="W11" s="38">
        <v>0</v>
      </c>
      <c r="X11" s="38">
        <v>0</v>
      </c>
      <c r="Y11" s="38">
        <v>24</v>
      </c>
      <c r="Z11" s="38">
        <v>0</v>
      </c>
      <c r="AA11" s="44">
        <v>0</v>
      </c>
      <c r="AB11" s="44">
        <v>0</v>
      </c>
      <c r="AC11" s="52" t="s">
        <v>113</v>
      </c>
      <c r="AD11" s="19">
        <v>224</v>
      </c>
      <c r="AE11" s="40"/>
      <c r="AF11" s="40">
        <v>0</v>
      </c>
      <c r="AG11" s="19">
        <v>0</v>
      </c>
      <c r="AH11" s="21">
        <v>0</v>
      </c>
      <c r="AI11" s="21">
        <v>0</v>
      </c>
      <c r="AJ11" s="21">
        <v>1.6</v>
      </c>
      <c r="AK11" s="21">
        <v>0</v>
      </c>
      <c r="AL11" s="24">
        <f t="shared" si="2"/>
        <v>1.6</v>
      </c>
      <c r="AM11" s="12"/>
      <c r="AN11" s="12"/>
      <c r="AO11" s="12"/>
      <c r="AP11" s="12"/>
      <c r="AQ11" s="55">
        <f t="shared" si="1"/>
        <v>214.50000000000003</v>
      </c>
      <c r="AR11" s="21"/>
      <c r="AS11" s="12">
        <v>292</v>
      </c>
      <c r="AT11" s="26"/>
      <c r="AU11" s="49"/>
      <c r="AV11" s="136" t="s">
        <v>608</v>
      </c>
      <c r="AW11" s="137"/>
    </row>
    <row r="12" spans="1:49" s="4" customFormat="1" ht="19.399999999999999" customHeight="1">
      <c r="A12" s="18" t="s">
        <v>134</v>
      </c>
      <c r="B12" s="18" t="s">
        <v>593</v>
      </c>
      <c r="C12" s="19" t="s">
        <v>127</v>
      </c>
      <c r="D12" s="19" t="s">
        <v>127</v>
      </c>
      <c r="E12" s="19" t="s">
        <v>610</v>
      </c>
      <c r="F12" s="58">
        <v>8</v>
      </c>
      <c r="G12" s="43">
        <v>22</v>
      </c>
      <c r="H12" s="44">
        <v>58.3</v>
      </c>
      <c r="I12" s="44" t="s">
        <v>38</v>
      </c>
      <c r="J12" s="43">
        <v>120</v>
      </c>
      <c r="K12" s="44">
        <v>10.4</v>
      </c>
      <c r="L12" s="44" t="s">
        <v>122</v>
      </c>
      <c r="M12" s="43" t="s">
        <v>114</v>
      </c>
      <c r="N12" s="45">
        <v>0</v>
      </c>
      <c r="O12" s="45">
        <v>2</v>
      </c>
      <c r="P12" s="45">
        <v>1</v>
      </c>
      <c r="Q12" s="45">
        <v>1</v>
      </c>
      <c r="R12" s="46">
        <v>3.95</v>
      </c>
      <c r="S12" s="46">
        <v>4.2</v>
      </c>
      <c r="T12" s="46">
        <v>286</v>
      </c>
      <c r="U12" s="47">
        <v>3096</v>
      </c>
      <c r="V12" s="23">
        <v>24</v>
      </c>
      <c r="W12" s="38">
        <v>0</v>
      </c>
      <c r="X12" s="38">
        <v>0</v>
      </c>
      <c r="Y12" s="38">
        <v>24</v>
      </c>
      <c r="Z12" s="38">
        <v>0</v>
      </c>
      <c r="AA12" s="44">
        <v>0</v>
      </c>
      <c r="AB12" s="44">
        <v>0</v>
      </c>
      <c r="AC12" s="52" t="s">
        <v>113</v>
      </c>
      <c r="AD12" s="19">
        <v>227</v>
      </c>
      <c r="AE12" s="40"/>
      <c r="AF12" s="40">
        <v>0</v>
      </c>
      <c r="AG12" s="19">
        <v>0</v>
      </c>
      <c r="AH12" s="21">
        <v>0</v>
      </c>
      <c r="AI12" s="21">
        <v>0</v>
      </c>
      <c r="AJ12" s="21">
        <v>1.6</v>
      </c>
      <c r="AK12" s="21">
        <v>0</v>
      </c>
      <c r="AL12" s="24">
        <f t="shared" si="2"/>
        <v>1.6</v>
      </c>
      <c r="AM12" s="12"/>
      <c r="AN12" s="12"/>
      <c r="AO12" s="12"/>
      <c r="AP12" s="12"/>
      <c r="AQ12" s="55">
        <f t="shared" si="1"/>
        <v>212.90000000000003</v>
      </c>
      <c r="AR12" s="21"/>
      <c r="AS12" s="12">
        <v>288</v>
      </c>
      <c r="AT12" s="26"/>
      <c r="AU12" s="49"/>
      <c r="AV12" s="136"/>
      <c r="AW12" s="137"/>
    </row>
    <row r="13" spans="1:49" s="4" customFormat="1" ht="19.399999999999999" customHeight="1">
      <c r="A13" s="18" t="s">
        <v>134</v>
      </c>
      <c r="B13" s="18" t="s">
        <v>593</v>
      </c>
      <c r="C13" s="19" t="s">
        <v>127</v>
      </c>
      <c r="D13" s="19" t="s">
        <v>127</v>
      </c>
      <c r="E13" s="19" t="s">
        <v>611</v>
      </c>
      <c r="F13" s="58">
        <v>8</v>
      </c>
      <c r="G13" s="43">
        <v>22</v>
      </c>
      <c r="H13" s="44">
        <v>58.3</v>
      </c>
      <c r="I13" s="44" t="s">
        <v>38</v>
      </c>
      <c r="J13" s="43">
        <v>120</v>
      </c>
      <c r="K13" s="44">
        <v>10.4</v>
      </c>
      <c r="L13" s="44" t="s">
        <v>122</v>
      </c>
      <c r="M13" s="43" t="s">
        <v>114</v>
      </c>
      <c r="N13" s="45">
        <v>0</v>
      </c>
      <c r="O13" s="45">
        <v>2</v>
      </c>
      <c r="P13" s="45">
        <v>1</v>
      </c>
      <c r="Q13" s="45">
        <v>1</v>
      </c>
      <c r="R13" s="46">
        <v>3.95</v>
      </c>
      <c r="S13" s="46">
        <v>4.2</v>
      </c>
      <c r="T13" s="46">
        <v>286</v>
      </c>
      <c r="U13" s="47">
        <v>3096</v>
      </c>
      <c r="V13" s="23">
        <v>24</v>
      </c>
      <c r="W13" s="38">
        <v>0</v>
      </c>
      <c r="X13" s="38">
        <v>0</v>
      </c>
      <c r="Y13" s="38">
        <v>24</v>
      </c>
      <c r="Z13" s="38">
        <v>0</v>
      </c>
      <c r="AA13" s="44">
        <v>0</v>
      </c>
      <c r="AB13" s="44">
        <v>0</v>
      </c>
      <c r="AC13" s="52" t="s">
        <v>113</v>
      </c>
      <c r="AD13" s="19">
        <v>224</v>
      </c>
      <c r="AE13" s="40"/>
      <c r="AF13" s="40">
        <v>0</v>
      </c>
      <c r="AG13" s="19">
        <v>0</v>
      </c>
      <c r="AH13" s="21">
        <v>0</v>
      </c>
      <c r="AI13" s="21">
        <v>0</v>
      </c>
      <c r="AJ13" s="21">
        <v>1.6</v>
      </c>
      <c r="AK13" s="21">
        <v>0</v>
      </c>
      <c r="AL13" s="24">
        <f t="shared" si="2"/>
        <v>1.6</v>
      </c>
      <c r="AM13" s="12"/>
      <c r="AN13" s="12"/>
      <c r="AO13" s="12"/>
      <c r="AP13" s="12"/>
      <c r="AQ13" s="55">
        <f t="shared" si="1"/>
        <v>211.30000000000004</v>
      </c>
      <c r="AR13" s="21"/>
      <c r="AS13" s="12">
        <v>284</v>
      </c>
      <c r="AT13" s="26"/>
      <c r="AU13" s="49"/>
      <c r="AV13" s="136"/>
      <c r="AW13" s="137"/>
    </row>
    <row r="14" spans="1:49" s="4" customFormat="1" ht="19.399999999999999" customHeight="1">
      <c r="A14" s="18" t="s">
        <v>134</v>
      </c>
      <c r="B14" s="18" t="s">
        <v>593</v>
      </c>
      <c r="C14" s="19" t="s">
        <v>127</v>
      </c>
      <c r="D14" s="19" t="s">
        <v>127</v>
      </c>
      <c r="E14" s="19" t="s">
        <v>612</v>
      </c>
      <c r="F14" s="58">
        <v>8</v>
      </c>
      <c r="G14" s="43">
        <v>22</v>
      </c>
      <c r="H14" s="44">
        <v>58.3</v>
      </c>
      <c r="I14" s="44" t="s">
        <v>38</v>
      </c>
      <c r="J14" s="43">
        <v>120</v>
      </c>
      <c r="K14" s="44">
        <v>10.4</v>
      </c>
      <c r="L14" s="44" t="s">
        <v>122</v>
      </c>
      <c r="M14" s="43" t="s">
        <v>114</v>
      </c>
      <c r="N14" s="45">
        <v>0</v>
      </c>
      <c r="O14" s="45">
        <v>2</v>
      </c>
      <c r="P14" s="45">
        <v>1</v>
      </c>
      <c r="Q14" s="45">
        <v>1</v>
      </c>
      <c r="R14" s="46">
        <v>3.95</v>
      </c>
      <c r="S14" s="46">
        <v>4.2</v>
      </c>
      <c r="T14" s="46">
        <v>286</v>
      </c>
      <c r="U14" s="47">
        <v>3096</v>
      </c>
      <c r="V14" s="23">
        <v>24</v>
      </c>
      <c r="W14" s="38">
        <v>0</v>
      </c>
      <c r="X14" s="38">
        <v>0</v>
      </c>
      <c r="Y14" s="38">
        <v>24</v>
      </c>
      <c r="Z14" s="38">
        <v>0</v>
      </c>
      <c r="AA14" s="44">
        <v>0</v>
      </c>
      <c r="AB14" s="44">
        <v>0</v>
      </c>
      <c r="AC14" s="52" t="s">
        <v>113</v>
      </c>
      <c r="AD14" s="19">
        <v>237</v>
      </c>
      <c r="AE14" s="40"/>
      <c r="AF14" s="19">
        <v>0</v>
      </c>
      <c r="AG14" s="19">
        <v>0</v>
      </c>
      <c r="AH14" s="21">
        <v>0</v>
      </c>
      <c r="AI14" s="21">
        <v>0</v>
      </c>
      <c r="AJ14" s="21">
        <v>1.6</v>
      </c>
      <c r="AK14" s="21">
        <v>0</v>
      </c>
      <c r="AL14" s="24">
        <f t="shared" si="2"/>
        <v>1.6</v>
      </c>
      <c r="AM14" s="12"/>
      <c r="AN14" s="12"/>
      <c r="AO14" s="12"/>
      <c r="AP14" s="12"/>
      <c r="AQ14" s="55">
        <f t="shared" si="1"/>
        <v>209.70000000000005</v>
      </c>
      <c r="AR14" s="21"/>
      <c r="AS14" s="12">
        <v>282</v>
      </c>
      <c r="AT14" s="26"/>
      <c r="AU14" s="49"/>
      <c r="AV14" s="136"/>
      <c r="AW14" s="137"/>
    </row>
    <row r="15" spans="1:49" s="4" customFormat="1" ht="19.399999999999999" customHeight="1">
      <c r="A15" s="18" t="s">
        <v>134</v>
      </c>
      <c r="B15" s="18" t="s">
        <v>593</v>
      </c>
      <c r="C15" s="19" t="s">
        <v>127</v>
      </c>
      <c r="D15" s="19" t="s">
        <v>127</v>
      </c>
      <c r="E15" s="19" t="s">
        <v>613</v>
      </c>
      <c r="F15" s="58">
        <v>8</v>
      </c>
      <c r="G15" s="43">
        <v>22</v>
      </c>
      <c r="H15" s="44">
        <v>58.3</v>
      </c>
      <c r="I15" s="44" t="s">
        <v>38</v>
      </c>
      <c r="J15" s="43">
        <v>120</v>
      </c>
      <c r="K15" s="44">
        <v>10.4</v>
      </c>
      <c r="L15" s="44" t="s">
        <v>122</v>
      </c>
      <c r="M15" s="43" t="s">
        <v>614</v>
      </c>
      <c r="N15" s="45">
        <v>9</v>
      </c>
      <c r="O15" s="45">
        <v>2</v>
      </c>
      <c r="P15" s="45">
        <v>1</v>
      </c>
      <c r="Q15" s="45">
        <v>1</v>
      </c>
      <c r="R15" s="46">
        <v>3.95</v>
      </c>
      <c r="S15" s="46">
        <v>4.2</v>
      </c>
      <c r="T15" s="46">
        <v>286</v>
      </c>
      <c r="U15" s="47">
        <v>3096</v>
      </c>
      <c r="V15" s="23">
        <v>24</v>
      </c>
      <c r="W15" s="38">
        <v>0</v>
      </c>
      <c r="X15" s="38">
        <v>0</v>
      </c>
      <c r="Y15" s="38">
        <v>24</v>
      </c>
      <c r="Z15" s="38">
        <v>0</v>
      </c>
      <c r="AA15" s="44">
        <v>0</v>
      </c>
      <c r="AB15" s="44">
        <v>0</v>
      </c>
      <c r="AC15" s="52" t="s">
        <v>113</v>
      </c>
      <c r="AD15" s="19">
        <v>230</v>
      </c>
      <c r="AE15" s="48"/>
      <c r="AF15" s="19">
        <v>0</v>
      </c>
      <c r="AG15" s="19">
        <v>0</v>
      </c>
      <c r="AH15" s="21">
        <v>0</v>
      </c>
      <c r="AI15" s="21">
        <v>0</v>
      </c>
      <c r="AJ15" s="21">
        <v>1.7</v>
      </c>
      <c r="AK15" s="21">
        <v>0</v>
      </c>
      <c r="AL15" s="24">
        <f t="shared" si="2"/>
        <v>1.7</v>
      </c>
      <c r="AM15" s="12"/>
      <c r="AN15" s="12"/>
      <c r="AO15" s="12"/>
      <c r="AP15" s="12"/>
      <c r="AQ15" s="55">
        <f t="shared" si="1"/>
        <v>208.00000000000006</v>
      </c>
      <c r="AR15" s="21"/>
      <c r="AS15" s="12">
        <v>279</v>
      </c>
      <c r="AT15" s="26"/>
      <c r="AU15" s="49"/>
      <c r="AV15" s="136"/>
      <c r="AW15" s="137"/>
    </row>
    <row r="16" spans="1:49" s="4" customFormat="1" ht="19.399999999999999" customHeight="1">
      <c r="A16" s="18" t="s">
        <v>134</v>
      </c>
      <c r="B16" s="18" t="s">
        <v>593</v>
      </c>
      <c r="C16" s="19" t="s">
        <v>127</v>
      </c>
      <c r="D16" s="19" t="s">
        <v>127</v>
      </c>
      <c r="E16" s="19" t="s">
        <v>615</v>
      </c>
      <c r="F16" s="58">
        <v>8</v>
      </c>
      <c r="G16" s="43">
        <v>22</v>
      </c>
      <c r="H16" s="44">
        <v>58.3</v>
      </c>
      <c r="I16" s="44" t="s">
        <v>38</v>
      </c>
      <c r="J16" s="43">
        <v>120</v>
      </c>
      <c r="K16" s="44">
        <v>10.4</v>
      </c>
      <c r="L16" s="44" t="s">
        <v>122</v>
      </c>
      <c r="M16" s="43" t="s">
        <v>115</v>
      </c>
      <c r="N16" s="45">
        <v>9</v>
      </c>
      <c r="O16" s="45">
        <v>2</v>
      </c>
      <c r="P16" s="45">
        <v>1</v>
      </c>
      <c r="Q16" s="45">
        <v>1</v>
      </c>
      <c r="R16" s="46">
        <v>3.95</v>
      </c>
      <c r="S16" s="46">
        <v>4.2</v>
      </c>
      <c r="T16" s="46">
        <v>286</v>
      </c>
      <c r="U16" s="47">
        <v>3096</v>
      </c>
      <c r="V16" s="23">
        <v>24</v>
      </c>
      <c r="W16" s="38">
        <v>0</v>
      </c>
      <c r="X16" s="38">
        <v>0</v>
      </c>
      <c r="Y16" s="38">
        <v>24</v>
      </c>
      <c r="Z16" s="38">
        <v>0</v>
      </c>
      <c r="AA16" s="44">
        <v>0</v>
      </c>
      <c r="AB16" s="44">
        <v>0</v>
      </c>
      <c r="AC16" s="52" t="s">
        <v>113</v>
      </c>
      <c r="AD16" s="19">
        <v>220</v>
      </c>
      <c r="AE16" s="48"/>
      <c r="AF16" s="40">
        <v>0</v>
      </c>
      <c r="AG16" s="19">
        <v>0</v>
      </c>
      <c r="AH16" s="21">
        <v>0</v>
      </c>
      <c r="AI16" s="21">
        <v>0</v>
      </c>
      <c r="AJ16" s="21">
        <v>1.7</v>
      </c>
      <c r="AK16" s="21">
        <v>0</v>
      </c>
      <c r="AL16" s="24">
        <f t="shared" si="2"/>
        <v>1.7</v>
      </c>
      <c r="AM16" s="12"/>
      <c r="AN16" s="12"/>
      <c r="AO16" s="12"/>
      <c r="AP16" s="12"/>
      <c r="AQ16" s="55">
        <f t="shared" si="1"/>
        <v>206.30000000000007</v>
      </c>
      <c r="AR16" s="21"/>
      <c r="AS16" s="55">
        <v>275</v>
      </c>
      <c r="AT16" s="26"/>
      <c r="AU16" s="49"/>
      <c r="AV16" s="136"/>
      <c r="AW16" s="137"/>
    </row>
    <row r="17" spans="1:49" s="4" customFormat="1" ht="19.399999999999999" customHeight="1">
      <c r="A17" s="18" t="s">
        <v>134</v>
      </c>
      <c r="B17" s="18" t="s">
        <v>593</v>
      </c>
      <c r="C17" s="19" t="s">
        <v>127</v>
      </c>
      <c r="D17" s="19" t="s">
        <v>127</v>
      </c>
      <c r="E17" s="19" t="s">
        <v>616</v>
      </c>
      <c r="F17" s="58">
        <v>8</v>
      </c>
      <c r="G17" s="43">
        <v>22</v>
      </c>
      <c r="H17" s="44">
        <v>58.3</v>
      </c>
      <c r="I17" s="44" t="s">
        <v>38</v>
      </c>
      <c r="J17" s="43">
        <v>120</v>
      </c>
      <c r="K17" s="44">
        <v>10.4</v>
      </c>
      <c r="L17" s="44" t="s">
        <v>122</v>
      </c>
      <c r="M17" s="43" t="s">
        <v>115</v>
      </c>
      <c r="N17" s="45">
        <v>9</v>
      </c>
      <c r="O17" s="45">
        <v>2</v>
      </c>
      <c r="P17" s="45">
        <v>1</v>
      </c>
      <c r="Q17" s="45">
        <v>1</v>
      </c>
      <c r="R17" s="46">
        <v>3.95</v>
      </c>
      <c r="S17" s="46">
        <v>4.2</v>
      </c>
      <c r="T17" s="46">
        <v>286</v>
      </c>
      <c r="U17" s="47">
        <v>3096</v>
      </c>
      <c r="V17" s="23">
        <v>24</v>
      </c>
      <c r="W17" s="38">
        <v>0</v>
      </c>
      <c r="X17" s="38">
        <v>0</v>
      </c>
      <c r="Y17" s="38">
        <v>24</v>
      </c>
      <c r="Z17" s="38">
        <v>0</v>
      </c>
      <c r="AA17" s="44">
        <v>0</v>
      </c>
      <c r="AB17" s="44">
        <v>0</v>
      </c>
      <c r="AC17" s="52" t="s">
        <v>113</v>
      </c>
      <c r="AD17" s="19">
        <v>166</v>
      </c>
      <c r="AE17" s="48"/>
      <c r="AF17" s="40">
        <v>0</v>
      </c>
      <c r="AG17" s="19">
        <v>0</v>
      </c>
      <c r="AH17" s="21">
        <v>0</v>
      </c>
      <c r="AI17" s="21">
        <v>0</v>
      </c>
      <c r="AJ17" s="21">
        <v>1.7</v>
      </c>
      <c r="AK17" s="21">
        <v>0</v>
      </c>
      <c r="AL17" s="24">
        <f t="shared" si="2"/>
        <v>1.7</v>
      </c>
      <c r="AM17" s="12"/>
      <c r="AN17" s="12"/>
      <c r="AO17" s="12"/>
      <c r="AP17" s="12"/>
      <c r="AQ17" s="55">
        <f t="shared" si="1"/>
        <v>204.60000000000008</v>
      </c>
      <c r="AR17" s="21"/>
      <c r="AS17" s="12">
        <v>270</v>
      </c>
      <c r="AT17" s="26"/>
      <c r="AU17" s="49"/>
      <c r="AV17" s="136"/>
      <c r="AW17" s="137"/>
    </row>
    <row r="18" spans="1:49" s="4" customFormat="1" ht="19.399999999999999" customHeight="1">
      <c r="A18" s="18" t="s">
        <v>134</v>
      </c>
      <c r="B18" s="18" t="s">
        <v>593</v>
      </c>
      <c r="C18" s="19" t="s">
        <v>127</v>
      </c>
      <c r="D18" s="19" t="s">
        <v>127</v>
      </c>
      <c r="E18" s="19" t="s">
        <v>617</v>
      </c>
      <c r="F18" s="58">
        <v>8</v>
      </c>
      <c r="G18" s="43">
        <v>22</v>
      </c>
      <c r="H18" s="44">
        <v>58.3</v>
      </c>
      <c r="I18" s="44" t="s">
        <v>38</v>
      </c>
      <c r="J18" s="43">
        <v>120</v>
      </c>
      <c r="K18" s="44">
        <v>10.4</v>
      </c>
      <c r="L18" s="44" t="s">
        <v>122</v>
      </c>
      <c r="M18" s="43" t="s">
        <v>115</v>
      </c>
      <c r="N18" s="45">
        <v>9</v>
      </c>
      <c r="O18" s="45">
        <v>2</v>
      </c>
      <c r="P18" s="45">
        <v>1</v>
      </c>
      <c r="Q18" s="45">
        <v>1</v>
      </c>
      <c r="R18" s="46">
        <v>3.95</v>
      </c>
      <c r="S18" s="46">
        <v>4.2</v>
      </c>
      <c r="T18" s="46">
        <v>286</v>
      </c>
      <c r="U18" s="47">
        <v>3096</v>
      </c>
      <c r="V18" s="23">
        <v>24</v>
      </c>
      <c r="W18" s="38">
        <v>0</v>
      </c>
      <c r="X18" s="38">
        <v>0</v>
      </c>
      <c r="Y18" s="38">
        <v>24</v>
      </c>
      <c r="Z18" s="38">
        <v>0</v>
      </c>
      <c r="AA18" s="44">
        <v>0</v>
      </c>
      <c r="AB18" s="44">
        <v>0</v>
      </c>
      <c r="AC18" s="52" t="s">
        <v>113</v>
      </c>
      <c r="AD18" s="19">
        <v>185</v>
      </c>
      <c r="AE18" s="48"/>
      <c r="AF18" s="40">
        <v>0</v>
      </c>
      <c r="AG18" s="19">
        <v>0</v>
      </c>
      <c r="AH18" s="21">
        <v>0</v>
      </c>
      <c r="AI18" s="21">
        <v>0</v>
      </c>
      <c r="AJ18" s="21">
        <v>1.7</v>
      </c>
      <c r="AK18" s="21">
        <v>0</v>
      </c>
      <c r="AL18" s="24">
        <f t="shared" si="2"/>
        <v>1.7</v>
      </c>
      <c r="AM18" s="12"/>
      <c r="AN18" s="12"/>
      <c r="AO18" s="12"/>
      <c r="AP18" s="12"/>
      <c r="AQ18" s="55">
        <f t="shared" si="1"/>
        <v>202.90000000000009</v>
      </c>
      <c r="AR18" s="21"/>
      <c r="AS18" s="12">
        <v>264</v>
      </c>
      <c r="AT18" s="26"/>
      <c r="AU18" s="49"/>
      <c r="AV18" s="136"/>
      <c r="AW18" s="137"/>
    </row>
    <row r="19" spans="1:49" s="4" customFormat="1" ht="19.399999999999999" customHeight="1">
      <c r="A19" s="18" t="s">
        <v>134</v>
      </c>
      <c r="B19" s="18" t="s">
        <v>593</v>
      </c>
      <c r="C19" s="19" t="s">
        <v>127</v>
      </c>
      <c r="D19" s="19" t="s">
        <v>127</v>
      </c>
      <c r="E19" s="19" t="s">
        <v>618</v>
      </c>
      <c r="F19" s="58">
        <v>8</v>
      </c>
      <c r="G19" s="43">
        <v>22</v>
      </c>
      <c r="H19" s="44">
        <v>58.3</v>
      </c>
      <c r="I19" s="44" t="s">
        <v>38</v>
      </c>
      <c r="J19" s="43">
        <v>120</v>
      </c>
      <c r="K19" s="44">
        <v>10.4</v>
      </c>
      <c r="L19" s="44" t="s">
        <v>122</v>
      </c>
      <c r="M19" s="43" t="s">
        <v>115</v>
      </c>
      <c r="N19" s="45">
        <v>9</v>
      </c>
      <c r="O19" s="45">
        <v>2</v>
      </c>
      <c r="P19" s="45">
        <v>1</v>
      </c>
      <c r="Q19" s="45">
        <v>1</v>
      </c>
      <c r="R19" s="46">
        <v>3.95</v>
      </c>
      <c r="S19" s="46">
        <v>4.2</v>
      </c>
      <c r="T19" s="46">
        <v>286</v>
      </c>
      <c r="U19" s="47">
        <v>3096</v>
      </c>
      <c r="V19" s="23">
        <v>24</v>
      </c>
      <c r="W19" s="38">
        <v>0</v>
      </c>
      <c r="X19" s="38">
        <v>0</v>
      </c>
      <c r="Y19" s="38">
        <v>24</v>
      </c>
      <c r="Z19" s="38">
        <v>0</v>
      </c>
      <c r="AA19" s="44">
        <v>0</v>
      </c>
      <c r="AB19" s="44">
        <v>0</v>
      </c>
      <c r="AC19" s="52" t="s">
        <v>119</v>
      </c>
      <c r="AD19" s="19">
        <v>221</v>
      </c>
      <c r="AE19" s="48"/>
      <c r="AF19" s="40">
        <v>0</v>
      </c>
      <c r="AG19" s="19">
        <v>0</v>
      </c>
      <c r="AH19" s="21">
        <v>0</v>
      </c>
      <c r="AI19" s="21">
        <v>0</v>
      </c>
      <c r="AJ19" s="21">
        <v>1.7</v>
      </c>
      <c r="AK19" s="21">
        <v>0</v>
      </c>
      <c r="AL19" s="24">
        <f t="shared" si="2"/>
        <v>1.7</v>
      </c>
      <c r="AM19" s="12"/>
      <c r="AN19" s="12"/>
      <c r="AO19" s="12"/>
      <c r="AP19" s="12"/>
      <c r="AQ19" s="55">
        <f t="shared" si="1"/>
        <v>201.2000000000001</v>
      </c>
      <c r="AR19" s="21"/>
      <c r="AS19" s="12">
        <v>260</v>
      </c>
      <c r="AT19" s="26"/>
      <c r="AU19" s="49"/>
      <c r="AV19" s="136"/>
      <c r="AW19" s="137"/>
    </row>
    <row r="20" spans="1:49" s="4" customFormat="1" ht="19.399999999999999" customHeight="1">
      <c r="A20" s="18" t="s">
        <v>134</v>
      </c>
      <c r="B20" s="18" t="s">
        <v>593</v>
      </c>
      <c r="C20" s="19" t="s">
        <v>127</v>
      </c>
      <c r="D20" s="19" t="s">
        <v>127</v>
      </c>
      <c r="E20" s="19" t="s">
        <v>619</v>
      </c>
      <c r="F20" s="58">
        <v>8</v>
      </c>
      <c r="G20" s="43">
        <v>22</v>
      </c>
      <c r="H20" s="44">
        <v>58.3</v>
      </c>
      <c r="I20" s="44" t="s">
        <v>38</v>
      </c>
      <c r="J20" s="43">
        <v>120</v>
      </c>
      <c r="K20" s="44">
        <v>10.4</v>
      </c>
      <c r="L20" s="44" t="s">
        <v>122</v>
      </c>
      <c r="M20" s="43" t="s">
        <v>115</v>
      </c>
      <c r="N20" s="45">
        <v>9</v>
      </c>
      <c r="O20" s="45">
        <v>2</v>
      </c>
      <c r="P20" s="45">
        <v>1</v>
      </c>
      <c r="Q20" s="45">
        <v>1</v>
      </c>
      <c r="R20" s="46">
        <v>3.95</v>
      </c>
      <c r="S20" s="46">
        <v>4.2</v>
      </c>
      <c r="T20" s="46">
        <v>286</v>
      </c>
      <c r="U20" s="47">
        <v>3096</v>
      </c>
      <c r="V20" s="23">
        <v>24</v>
      </c>
      <c r="W20" s="38">
        <v>0</v>
      </c>
      <c r="X20" s="38">
        <v>0</v>
      </c>
      <c r="Y20" s="38">
        <v>24</v>
      </c>
      <c r="Z20" s="38">
        <v>0</v>
      </c>
      <c r="AA20" s="44">
        <v>0</v>
      </c>
      <c r="AB20" s="44">
        <v>0</v>
      </c>
      <c r="AC20" s="52" t="s">
        <v>119</v>
      </c>
      <c r="AD20" s="19">
        <v>223</v>
      </c>
      <c r="AE20" s="48"/>
      <c r="AF20" s="40">
        <v>0</v>
      </c>
      <c r="AG20" s="19">
        <v>0</v>
      </c>
      <c r="AH20" s="21">
        <v>0</v>
      </c>
      <c r="AI20" s="21">
        <v>0</v>
      </c>
      <c r="AJ20" s="21">
        <v>1.7</v>
      </c>
      <c r="AK20" s="21">
        <v>0</v>
      </c>
      <c r="AL20" s="24">
        <f t="shared" si="2"/>
        <v>1.7</v>
      </c>
      <c r="AM20" s="12"/>
      <c r="AN20" s="12"/>
      <c r="AO20" s="12"/>
      <c r="AP20" s="12"/>
      <c r="AQ20" s="55">
        <f t="shared" si="1"/>
        <v>199.50000000000011</v>
      </c>
      <c r="AR20" s="21"/>
      <c r="AS20" s="12">
        <v>258</v>
      </c>
      <c r="AT20" s="26"/>
      <c r="AU20" s="49"/>
      <c r="AV20" s="136"/>
      <c r="AW20" s="137"/>
    </row>
    <row r="21" spans="1:49" s="4" customFormat="1" ht="19.399999999999999" customHeight="1">
      <c r="A21" s="18" t="s">
        <v>134</v>
      </c>
      <c r="B21" s="18" t="s">
        <v>593</v>
      </c>
      <c r="C21" s="19" t="s">
        <v>127</v>
      </c>
      <c r="D21" s="19" t="s">
        <v>127</v>
      </c>
      <c r="E21" s="19" t="s">
        <v>620</v>
      </c>
      <c r="F21" s="58">
        <v>8</v>
      </c>
      <c r="G21" s="43">
        <v>22</v>
      </c>
      <c r="H21" s="44">
        <v>58.3</v>
      </c>
      <c r="I21" s="44" t="s">
        <v>38</v>
      </c>
      <c r="J21" s="43">
        <v>120</v>
      </c>
      <c r="K21" s="44">
        <v>10.4</v>
      </c>
      <c r="L21" s="44" t="s">
        <v>122</v>
      </c>
      <c r="M21" s="43" t="s">
        <v>115</v>
      </c>
      <c r="N21" s="45">
        <v>9</v>
      </c>
      <c r="O21" s="45">
        <v>2</v>
      </c>
      <c r="P21" s="45">
        <v>1</v>
      </c>
      <c r="Q21" s="45">
        <v>1</v>
      </c>
      <c r="R21" s="46">
        <v>3.95</v>
      </c>
      <c r="S21" s="46">
        <v>4.2</v>
      </c>
      <c r="T21" s="46">
        <v>286</v>
      </c>
      <c r="U21" s="47">
        <v>3096</v>
      </c>
      <c r="V21" s="23">
        <v>24</v>
      </c>
      <c r="W21" s="38">
        <v>0</v>
      </c>
      <c r="X21" s="38">
        <v>0</v>
      </c>
      <c r="Y21" s="38">
        <v>24</v>
      </c>
      <c r="Z21" s="38">
        <v>0</v>
      </c>
      <c r="AA21" s="44">
        <v>0</v>
      </c>
      <c r="AB21" s="44">
        <v>0</v>
      </c>
      <c r="AC21" s="52" t="s">
        <v>119</v>
      </c>
      <c r="AD21" s="19">
        <v>227</v>
      </c>
      <c r="AE21" s="48"/>
      <c r="AF21" s="40">
        <v>0</v>
      </c>
      <c r="AG21" s="19">
        <v>0</v>
      </c>
      <c r="AH21" s="21">
        <v>0</v>
      </c>
      <c r="AI21" s="21">
        <v>0</v>
      </c>
      <c r="AJ21" s="21">
        <v>1.6</v>
      </c>
      <c r="AK21" s="21">
        <v>0</v>
      </c>
      <c r="AL21" s="24">
        <f t="shared" si="2"/>
        <v>1.6</v>
      </c>
      <c r="AM21" s="12"/>
      <c r="AN21" s="12"/>
      <c r="AO21" s="12"/>
      <c r="AP21" s="12"/>
      <c r="AQ21" s="55">
        <f t="shared" si="1"/>
        <v>197.90000000000012</v>
      </c>
      <c r="AR21" s="21"/>
      <c r="AS21" s="12">
        <v>254</v>
      </c>
      <c r="AT21" s="26"/>
      <c r="AU21" s="49"/>
      <c r="AV21" s="136"/>
      <c r="AW21" s="137"/>
    </row>
    <row r="22" spans="1:49" s="4" customFormat="1" ht="19.399999999999999" customHeight="1">
      <c r="A22" s="18" t="s">
        <v>134</v>
      </c>
      <c r="B22" s="18" t="s">
        <v>593</v>
      </c>
      <c r="C22" s="19" t="s">
        <v>127</v>
      </c>
      <c r="D22" s="19" t="s">
        <v>127</v>
      </c>
      <c r="E22" s="19" t="s">
        <v>622</v>
      </c>
      <c r="F22" s="58">
        <v>8</v>
      </c>
      <c r="G22" s="43">
        <v>22</v>
      </c>
      <c r="H22" s="44">
        <v>58.3</v>
      </c>
      <c r="I22" s="44" t="s">
        <v>38</v>
      </c>
      <c r="J22" s="43">
        <v>120</v>
      </c>
      <c r="K22" s="44">
        <v>10.4</v>
      </c>
      <c r="L22" s="44" t="s">
        <v>122</v>
      </c>
      <c r="M22" s="43" t="s">
        <v>115</v>
      </c>
      <c r="N22" s="45">
        <v>9</v>
      </c>
      <c r="O22" s="45">
        <v>2</v>
      </c>
      <c r="P22" s="45">
        <v>1</v>
      </c>
      <c r="Q22" s="45">
        <v>1</v>
      </c>
      <c r="R22" s="46">
        <v>3.95</v>
      </c>
      <c r="S22" s="46">
        <v>4.2</v>
      </c>
      <c r="T22" s="46">
        <v>286</v>
      </c>
      <c r="U22" s="47">
        <v>3096</v>
      </c>
      <c r="V22" s="23">
        <v>24</v>
      </c>
      <c r="W22" s="38">
        <v>0</v>
      </c>
      <c r="X22" s="38">
        <v>0</v>
      </c>
      <c r="Y22" s="38">
        <v>24</v>
      </c>
      <c r="Z22" s="38">
        <v>0</v>
      </c>
      <c r="AA22" s="44">
        <v>0</v>
      </c>
      <c r="AB22" s="44">
        <v>0</v>
      </c>
      <c r="AC22" s="52" t="s">
        <v>119</v>
      </c>
      <c r="AD22" s="19">
        <v>223</v>
      </c>
      <c r="AE22" s="48"/>
      <c r="AF22" s="40">
        <v>0</v>
      </c>
      <c r="AG22" s="19">
        <v>0</v>
      </c>
      <c r="AH22" s="21">
        <v>0</v>
      </c>
      <c r="AI22" s="21">
        <v>0</v>
      </c>
      <c r="AJ22" s="21">
        <v>1.5</v>
      </c>
      <c r="AK22" s="21">
        <v>0</v>
      </c>
      <c r="AL22" s="24">
        <f t="shared" si="2"/>
        <v>1.5</v>
      </c>
      <c r="AM22" s="12"/>
      <c r="AN22" s="12"/>
      <c r="AO22" s="12"/>
      <c r="AP22" s="12"/>
      <c r="AQ22" s="55">
        <f t="shared" si="1"/>
        <v>196.40000000000012</v>
      </c>
      <c r="AR22" s="21"/>
      <c r="AS22" s="12">
        <v>337</v>
      </c>
      <c r="AT22" s="26"/>
      <c r="AU22" s="49"/>
      <c r="AV22" s="136" t="s">
        <v>621</v>
      </c>
      <c r="AW22" s="137"/>
    </row>
    <row r="23" spans="1:49" s="4" customFormat="1" ht="19.399999999999999" customHeight="1">
      <c r="A23" s="18" t="s">
        <v>134</v>
      </c>
      <c r="B23" s="18" t="s">
        <v>593</v>
      </c>
      <c r="C23" s="19" t="s">
        <v>127</v>
      </c>
      <c r="D23" s="19" t="s">
        <v>127</v>
      </c>
      <c r="E23" s="19" t="s">
        <v>623</v>
      </c>
      <c r="F23" s="58">
        <v>8</v>
      </c>
      <c r="G23" s="43">
        <v>22</v>
      </c>
      <c r="H23" s="44">
        <v>58.3</v>
      </c>
      <c r="I23" s="44" t="s">
        <v>38</v>
      </c>
      <c r="J23" s="43">
        <v>120</v>
      </c>
      <c r="K23" s="44">
        <v>10.4</v>
      </c>
      <c r="L23" s="44" t="s">
        <v>122</v>
      </c>
      <c r="M23" s="43" t="s">
        <v>115</v>
      </c>
      <c r="N23" s="45">
        <v>9</v>
      </c>
      <c r="O23" s="45">
        <v>2</v>
      </c>
      <c r="P23" s="45">
        <v>1</v>
      </c>
      <c r="Q23" s="45">
        <v>1</v>
      </c>
      <c r="R23" s="46">
        <v>3.95</v>
      </c>
      <c r="S23" s="46">
        <v>4.2</v>
      </c>
      <c r="T23" s="46">
        <v>286</v>
      </c>
      <c r="U23" s="47">
        <v>3096</v>
      </c>
      <c r="V23" s="23">
        <v>24</v>
      </c>
      <c r="W23" s="38">
        <v>0</v>
      </c>
      <c r="X23" s="38">
        <v>0</v>
      </c>
      <c r="Y23" s="38">
        <v>24</v>
      </c>
      <c r="Z23" s="38">
        <v>0</v>
      </c>
      <c r="AA23" s="44">
        <v>0</v>
      </c>
      <c r="AB23" s="44">
        <v>0</v>
      </c>
      <c r="AC23" s="52" t="s">
        <v>119</v>
      </c>
      <c r="AD23" s="19">
        <v>178</v>
      </c>
      <c r="AE23" s="48"/>
      <c r="AF23" s="40">
        <v>0</v>
      </c>
      <c r="AG23" s="19">
        <v>0</v>
      </c>
      <c r="AH23" s="21">
        <v>0</v>
      </c>
      <c r="AI23" s="21">
        <v>0</v>
      </c>
      <c r="AJ23" s="21">
        <v>1.3</v>
      </c>
      <c r="AK23" s="21">
        <v>0</v>
      </c>
      <c r="AL23" s="24">
        <f t="shared" si="2"/>
        <v>1.3</v>
      </c>
      <c r="AM23" s="12"/>
      <c r="AN23" s="12"/>
      <c r="AO23" s="12"/>
      <c r="AP23" s="12"/>
      <c r="AQ23" s="55">
        <f t="shared" si="1"/>
        <v>195.10000000000011</v>
      </c>
      <c r="AR23" s="21"/>
      <c r="AS23" s="12">
        <v>333</v>
      </c>
      <c r="AT23" s="26"/>
      <c r="AU23" s="49"/>
      <c r="AV23" s="136"/>
      <c r="AW23" s="137"/>
    </row>
    <row r="24" spans="1:49" s="4" customFormat="1" ht="19.399999999999999" customHeight="1">
      <c r="A24" s="18" t="s">
        <v>134</v>
      </c>
      <c r="B24" s="18" t="s">
        <v>593</v>
      </c>
      <c r="C24" s="19" t="s">
        <v>127</v>
      </c>
      <c r="D24" s="19" t="s">
        <v>127</v>
      </c>
      <c r="E24" s="19" t="s">
        <v>624</v>
      </c>
      <c r="F24" s="58">
        <v>8</v>
      </c>
      <c r="G24" s="43">
        <v>22</v>
      </c>
      <c r="H24" s="44">
        <v>58.3</v>
      </c>
      <c r="I24" s="44" t="s">
        <v>38</v>
      </c>
      <c r="J24" s="43">
        <v>120</v>
      </c>
      <c r="K24" s="44">
        <v>10.4</v>
      </c>
      <c r="L24" s="44" t="s">
        <v>122</v>
      </c>
      <c r="M24" s="43" t="s">
        <v>115</v>
      </c>
      <c r="N24" s="45">
        <v>9</v>
      </c>
      <c r="O24" s="45">
        <v>2</v>
      </c>
      <c r="P24" s="45">
        <v>1</v>
      </c>
      <c r="Q24" s="45">
        <v>1</v>
      </c>
      <c r="R24" s="46">
        <v>3.95</v>
      </c>
      <c r="S24" s="46">
        <v>4.2</v>
      </c>
      <c r="T24" s="46">
        <v>286</v>
      </c>
      <c r="U24" s="47">
        <v>3096</v>
      </c>
      <c r="V24" s="23">
        <v>24</v>
      </c>
      <c r="W24" s="38">
        <v>0</v>
      </c>
      <c r="X24" s="38">
        <v>0</v>
      </c>
      <c r="Y24" s="38">
        <v>24</v>
      </c>
      <c r="Z24" s="38">
        <v>0</v>
      </c>
      <c r="AA24" s="44">
        <v>0</v>
      </c>
      <c r="AB24" s="44">
        <v>0</v>
      </c>
      <c r="AC24" s="52" t="s">
        <v>119</v>
      </c>
      <c r="AD24" s="19">
        <v>206</v>
      </c>
      <c r="AE24" s="48"/>
      <c r="AF24" s="40">
        <v>0</v>
      </c>
      <c r="AG24" s="19">
        <v>0</v>
      </c>
      <c r="AH24" s="21">
        <v>0</v>
      </c>
      <c r="AI24" s="21">
        <v>0</v>
      </c>
      <c r="AJ24" s="21">
        <v>1.3</v>
      </c>
      <c r="AK24" s="21">
        <v>0</v>
      </c>
      <c r="AL24" s="24">
        <f t="shared" si="2"/>
        <v>1.3</v>
      </c>
      <c r="AM24" s="12"/>
      <c r="AN24" s="12"/>
      <c r="AO24" s="12"/>
      <c r="AP24" s="12"/>
      <c r="AQ24" s="55">
        <f t="shared" si="1"/>
        <v>193.8000000000001</v>
      </c>
      <c r="AR24" s="21"/>
      <c r="AS24" s="12">
        <v>329</v>
      </c>
      <c r="AT24" s="26"/>
      <c r="AU24" s="49"/>
      <c r="AV24" s="136"/>
      <c r="AW24" s="137"/>
    </row>
    <row r="25" spans="1:49" s="4" customFormat="1" ht="19.399999999999999" customHeight="1">
      <c r="A25" s="18" t="s">
        <v>134</v>
      </c>
      <c r="B25" s="18" t="s">
        <v>642</v>
      </c>
      <c r="C25" s="19" t="s">
        <v>127</v>
      </c>
      <c r="D25" s="19" t="s">
        <v>171</v>
      </c>
      <c r="E25" s="19" t="s">
        <v>626</v>
      </c>
      <c r="F25" s="58">
        <v>8</v>
      </c>
      <c r="G25" s="43">
        <v>22</v>
      </c>
      <c r="H25" s="44">
        <v>58.3</v>
      </c>
      <c r="I25" s="44" t="s">
        <v>38</v>
      </c>
      <c r="J25" s="43">
        <v>120</v>
      </c>
      <c r="K25" s="44">
        <v>10.4</v>
      </c>
      <c r="L25" s="44" t="s">
        <v>122</v>
      </c>
      <c r="M25" s="43" t="s">
        <v>115</v>
      </c>
      <c r="N25" s="45">
        <v>9</v>
      </c>
      <c r="O25" s="45">
        <v>2</v>
      </c>
      <c r="P25" s="45">
        <v>1</v>
      </c>
      <c r="Q25" s="45">
        <v>1</v>
      </c>
      <c r="R25" s="46">
        <v>3.95</v>
      </c>
      <c r="S25" s="46">
        <v>4.2</v>
      </c>
      <c r="T25" s="46">
        <v>286</v>
      </c>
      <c r="U25" s="47">
        <v>3096</v>
      </c>
      <c r="V25" s="23">
        <v>24</v>
      </c>
      <c r="W25" s="38">
        <v>0</v>
      </c>
      <c r="X25" s="38">
        <v>0</v>
      </c>
      <c r="Y25" s="38">
        <v>24</v>
      </c>
      <c r="Z25" s="38">
        <v>0</v>
      </c>
      <c r="AA25" s="44">
        <v>0</v>
      </c>
      <c r="AB25" s="44">
        <v>0</v>
      </c>
      <c r="AC25" s="52" t="s">
        <v>126</v>
      </c>
      <c r="AD25" s="19" t="s">
        <v>625</v>
      </c>
      <c r="AE25" s="48"/>
      <c r="AF25" s="40">
        <v>0</v>
      </c>
      <c r="AG25" s="19">
        <v>0</v>
      </c>
      <c r="AH25" s="21">
        <v>0</v>
      </c>
      <c r="AI25" s="21">
        <v>1.1000000000000001</v>
      </c>
      <c r="AJ25" s="21">
        <v>2</v>
      </c>
      <c r="AK25" s="21">
        <v>0</v>
      </c>
      <c r="AL25" s="24">
        <f t="shared" si="2"/>
        <v>3.1</v>
      </c>
      <c r="AM25" s="12"/>
      <c r="AN25" s="12"/>
      <c r="AO25" s="12"/>
      <c r="AP25" s="12"/>
      <c r="AQ25" s="55">
        <f t="shared" si="1"/>
        <v>190.7000000000001</v>
      </c>
      <c r="AR25" s="21"/>
      <c r="AS25" s="12">
        <v>325</v>
      </c>
      <c r="AT25" s="26"/>
      <c r="AU25" s="49"/>
      <c r="AV25" s="136"/>
      <c r="AW25" s="137"/>
    </row>
    <row r="26" spans="1:49" s="4" customFormat="1" ht="19.399999999999999" customHeight="1">
      <c r="A26" s="18" t="s">
        <v>134</v>
      </c>
      <c r="B26" s="18" t="s">
        <v>642</v>
      </c>
      <c r="C26" s="19" t="s">
        <v>127</v>
      </c>
      <c r="D26" s="19" t="s">
        <v>171</v>
      </c>
      <c r="E26" s="19" t="s">
        <v>627</v>
      </c>
      <c r="F26" s="58">
        <v>8</v>
      </c>
      <c r="G26" s="43">
        <v>22</v>
      </c>
      <c r="H26" s="44">
        <v>19.399999999999999</v>
      </c>
      <c r="I26" s="44" t="s">
        <v>38</v>
      </c>
      <c r="J26" s="43">
        <v>121</v>
      </c>
      <c r="K26" s="44">
        <v>24.5</v>
      </c>
      <c r="L26" s="44" t="s">
        <v>122</v>
      </c>
      <c r="M26" s="43" t="s">
        <v>115</v>
      </c>
      <c r="N26" s="45">
        <v>9</v>
      </c>
      <c r="O26" s="45">
        <v>3</v>
      </c>
      <c r="P26" s="45">
        <v>2</v>
      </c>
      <c r="Q26" s="45">
        <v>1</v>
      </c>
      <c r="R26" s="46">
        <v>4.05</v>
      </c>
      <c r="S26" s="46">
        <v>4.1500000000000004</v>
      </c>
      <c r="T26" s="46">
        <v>217</v>
      </c>
      <c r="U26" s="47">
        <v>2849</v>
      </c>
      <c r="V26" s="23">
        <v>24</v>
      </c>
      <c r="W26" s="38">
        <v>12</v>
      </c>
      <c r="X26" s="38">
        <v>12</v>
      </c>
      <c r="Y26" s="38">
        <v>0</v>
      </c>
      <c r="Z26" s="38">
        <v>0</v>
      </c>
      <c r="AA26" s="44">
        <v>176.6</v>
      </c>
      <c r="AB26" s="44">
        <v>7.4</v>
      </c>
      <c r="AC26" s="52" t="s">
        <v>126</v>
      </c>
      <c r="AD26" s="13" t="s">
        <v>628</v>
      </c>
      <c r="AE26" s="20"/>
      <c r="AF26" s="13" t="s">
        <v>168</v>
      </c>
      <c r="AG26" s="20" t="s">
        <v>629</v>
      </c>
      <c r="AH26" s="20">
        <v>2.5</v>
      </c>
      <c r="AI26" s="20">
        <v>2</v>
      </c>
      <c r="AJ26" s="20">
        <v>0</v>
      </c>
      <c r="AK26" s="20">
        <v>0</v>
      </c>
      <c r="AL26" s="24">
        <f t="shared" si="2"/>
        <v>4.5</v>
      </c>
      <c r="AM26" s="12"/>
      <c r="AN26" s="12"/>
      <c r="AO26" s="20"/>
      <c r="AP26" s="12"/>
      <c r="AQ26" s="55">
        <f t="shared" si="1"/>
        <v>186.2000000000001</v>
      </c>
      <c r="AR26" s="21"/>
      <c r="AS26" s="12">
        <v>317</v>
      </c>
      <c r="AT26" s="26"/>
      <c r="AU26" s="49"/>
      <c r="AV26" s="139"/>
      <c r="AW26" s="140"/>
    </row>
    <row r="27" spans="1:49" s="4" customFormat="1" ht="19.399999999999999" customHeight="1">
      <c r="A27" s="18" t="s">
        <v>134</v>
      </c>
      <c r="B27" s="18" t="s">
        <v>642</v>
      </c>
      <c r="C27" s="19" t="s">
        <v>127</v>
      </c>
      <c r="D27" s="19" t="s">
        <v>171</v>
      </c>
      <c r="E27" s="19" t="s">
        <v>633</v>
      </c>
      <c r="F27" s="58">
        <v>8</v>
      </c>
      <c r="G27" s="43">
        <v>22</v>
      </c>
      <c r="H27" s="44">
        <v>3.6</v>
      </c>
      <c r="I27" s="44" t="s">
        <v>38</v>
      </c>
      <c r="J27" s="43">
        <v>121</v>
      </c>
      <c r="K27" s="44">
        <v>27.3</v>
      </c>
      <c r="L27" s="44" t="s">
        <v>122</v>
      </c>
      <c r="M27" s="43" t="s">
        <v>115</v>
      </c>
      <c r="N27" s="45">
        <v>3</v>
      </c>
      <c r="O27" s="45">
        <v>3</v>
      </c>
      <c r="P27" s="45">
        <v>2</v>
      </c>
      <c r="Q27" s="45">
        <v>1</v>
      </c>
      <c r="R27" s="46">
        <v>4.05</v>
      </c>
      <c r="S27" s="46">
        <v>4.1500000000000004</v>
      </c>
      <c r="T27" s="46">
        <v>217</v>
      </c>
      <c r="U27" s="47">
        <v>2849</v>
      </c>
      <c r="V27" s="23">
        <v>24</v>
      </c>
      <c r="W27" s="38">
        <v>0</v>
      </c>
      <c r="X27" s="38">
        <v>24</v>
      </c>
      <c r="Y27" s="38">
        <v>0</v>
      </c>
      <c r="Z27" s="38">
        <v>0</v>
      </c>
      <c r="AA27" s="44">
        <v>146.5</v>
      </c>
      <c r="AB27" s="44">
        <f>AA27/24</f>
        <v>6.104166666666667</v>
      </c>
      <c r="AC27" s="52" t="s">
        <v>126</v>
      </c>
      <c r="AD27" s="13" t="s">
        <v>630</v>
      </c>
      <c r="AE27" s="20"/>
      <c r="AF27" s="13" t="s">
        <v>631</v>
      </c>
      <c r="AG27" s="20" t="s">
        <v>632</v>
      </c>
      <c r="AH27" s="20">
        <v>0</v>
      </c>
      <c r="AI27" s="20">
        <v>4.2</v>
      </c>
      <c r="AJ27" s="20">
        <v>0</v>
      </c>
      <c r="AK27" s="20">
        <v>0</v>
      </c>
      <c r="AL27" s="24">
        <f t="shared" si="2"/>
        <v>4.2</v>
      </c>
      <c r="AM27" s="12"/>
      <c r="AN27" s="12"/>
      <c r="AO27" s="12"/>
      <c r="AP27" s="12"/>
      <c r="AQ27" s="55">
        <f t="shared" si="1"/>
        <v>182.00000000000011</v>
      </c>
      <c r="AR27" s="21"/>
      <c r="AS27" s="12">
        <v>311</v>
      </c>
      <c r="AT27" s="26"/>
      <c r="AU27" s="49"/>
      <c r="AV27" s="136"/>
      <c r="AW27" s="137"/>
    </row>
    <row r="28" spans="1:49" s="4" customFormat="1" ht="19.399999999999999" customHeight="1">
      <c r="A28" s="18" t="s">
        <v>134</v>
      </c>
      <c r="B28" s="18" t="s">
        <v>642</v>
      </c>
      <c r="C28" s="19" t="s">
        <v>127</v>
      </c>
      <c r="D28" s="19" t="s">
        <v>171</v>
      </c>
      <c r="E28" s="19" t="s">
        <v>636</v>
      </c>
      <c r="F28" s="58">
        <v>8</v>
      </c>
      <c r="G28" s="43">
        <v>22</v>
      </c>
      <c r="H28" s="44">
        <v>20.5</v>
      </c>
      <c r="I28" s="44" t="s">
        <v>38</v>
      </c>
      <c r="J28" s="43">
        <v>121</v>
      </c>
      <c r="K28" s="44">
        <v>30.3</v>
      </c>
      <c r="L28" s="44" t="s">
        <v>122</v>
      </c>
      <c r="M28" s="43" t="s">
        <v>115</v>
      </c>
      <c r="N28" s="45">
        <v>3</v>
      </c>
      <c r="O28" s="45">
        <v>3</v>
      </c>
      <c r="P28" s="45">
        <v>2</v>
      </c>
      <c r="Q28" s="45">
        <v>1</v>
      </c>
      <c r="R28" s="46">
        <v>4.05</v>
      </c>
      <c r="S28" s="46">
        <v>4.1500000000000004</v>
      </c>
      <c r="T28" s="46">
        <v>217</v>
      </c>
      <c r="U28" s="47">
        <v>2849</v>
      </c>
      <c r="V28" s="23">
        <v>24</v>
      </c>
      <c r="W28" s="38">
        <v>0</v>
      </c>
      <c r="X28" s="38">
        <v>24</v>
      </c>
      <c r="Y28" s="38">
        <v>0</v>
      </c>
      <c r="Z28" s="38">
        <v>0</v>
      </c>
      <c r="AA28" s="44">
        <v>144.30000000000001</v>
      </c>
      <c r="AB28" s="44">
        <f>AA28/24</f>
        <v>6.0125000000000002</v>
      </c>
      <c r="AC28" s="52" t="s">
        <v>126</v>
      </c>
      <c r="AD28" s="13" t="s">
        <v>637</v>
      </c>
      <c r="AE28" s="20"/>
      <c r="AF28" s="20" t="s">
        <v>634</v>
      </c>
      <c r="AG28" s="20" t="s">
        <v>635</v>
      </c>
      <c r="AH28" s="20">
        <v>0</v>
      </c>
      <c r="AI28" s="20">
        <v>4.0999999999999996</v>
      </c>
      <c r="AJ28" s="20">
        <v>0</v>
      </c>
      <c r="AK28" s="20">
        <v>0</v>
      </c>
      <c r="AL28" s="24">
        <f t="shared" si="2"/>
        <v>4.0999999999999996</v>
      </c>
      <c r="AM28" s="12"/>
      <c r="AN28" s="12"/>
      <c r="AO28" s="12"/>
      <c r="AP28" s="12"/>
      <c r="AQ28" s="55">
        <f t="shared" si="1"/>
        <v>177.90000000000012</v>
      </c>
      <c r="AR28" s="21"/>
      <c r="AS28" s="12">
        <v>303</v>
      </c>
      <c r="AT28" s="26"/>
      <c r="AU28" s="49"/>
      <c r="AV28" s="136"/>
      <c r="AW28" s="137"/>
    </row>
    <row r="29" spans="1:49" s="4" customFormat="1" ht="19.399999999999999" customHeight="1">
      <c r="A29" s="18" t="s">
        <v>134</v>
      </c>
      <c r="B29" s="18" t="s">
        <v>642</v>
      </c>
      <c r="C29" s="19" t="s">
        <v>127</v>
      </c>
      <c r="D29" s="19" t="s">
        <v>641</v>
      </c>
      <c r="E29" s="19" t="s">
        <v>643</v>
      </c>
      <c r="F29" s="58">
        <v>8</v>
      </c>
      <c r="G29" s="43">
        <v>22</v>
      </c>
      <c r="H29" s="44">
        <v>29.9</v>
      </c>
      <c r="I29" s="44" t="s">
        <v>38</v>
      </c>
      <c r="J29" s="43">
        <v>121</v>
      </c>
      <c r="K29" s="44">
        <v>43.6</v>
      </c>
      <c r="L29" s="44" t="s">
        <v>122</v>
      </c>
      <c r="M29" s="43" t="s">
        <v>115</v>
      </c>
      <c r="N29" s="45">
        <v>3</v>
      </c>
      <c r="O29" s="45">
        <v>3</v>
      </c>
      <c r="P29" s="45">
        <v>2</v>
      </c>
      <c r="Q29" s="45">
        <v>1</v>
      </c>
      <c r="R29" s="46">
        <v>4.05</v>
      </c>
      <c r="S29" s="46">
        <v>4.1500000000000004</v>
      </c>
      <c r="T29" s="46">
        <v>217</v>
      </c>
      <c r="U29" s="47">
        <v>2849</v>
      </c>
      <c r="V29" s="23">
        <v>24</v>
      </c>
      <c r="W29" s="38">
        <v>0</v>
      </c>
      <c r="X29" s="38">
        <v>24</v>
      </c>
      <c r="Y29" s="38">
        <v>0</v>
      </c>
      <c r="Z29" s="38">
        <v>0</v>
      </c>
      <c r="AA29" s="44">
        <v>143.69999999999999</v>
      </c>
      <c r="AB29" s="44">
        <f>AA29/24</f>
        <v>5.9874999999999998</v>
      </c>
      <c r="AC29" s="52" t="s">
        <v>126</v>
      </c>
      <c r="AD29" s="13" t="s">
        <v>640</v>
      </c>
      <c r="AE29" s="20"/>
      <c r="AF29" s="20" t="s">
        <v>638</v>
      </c>
      <c r="AG29" s="20" t="s">
        <v>639</v>
      </c>
      <c r="AH29" s="20">
        <v>0</v>
      </c>
      <c r="AI29" s="20">
        <v>4.3</v>
      </c>
      <c r="AJ29" s="20">
        <v>0</v>
      </c>
      <c r="AK29" s="20">
        <v>0</v>
      </c>
      <c r="AL29" s="24">
        <f t="shared" si="2"/>
        <v>4.3</v>
      </c>
      <c r="AM29" s="12"/>
      <c r="AN29" s="12"/>
      <c r="AO29" s="12"/>
      <c r="AP29" s="12"/>
      <c r="AQ29" s="55">
        <f t="shared" si="1"/>
        <v>173.60000000000011</v>
      </c>
      <c r="AR29" s="21"/>
      <c r="AS29" s="12">
        <v>291</v>
      </c>
      <c r="AT29" s="26"/>
      <c r="AU29" s="49"/>
      <c r="AV29" s="136"/>
      <c r="AW29" s="137"/>
    </row>
    <row r="30" spans="1:49" s="4" customFormat="1" ht="19.399999999999999" customHeight="1">
      <c r="A30" s="18" t="s">
        <v>134</v>
      </c>
      <c r="B30" s="18" t="s">
        <v>642</v>
      </c>
      <c r="C30" s="19" t="s">
        <v>127</v>
      </c>
      <c r="D30" s="19" t="s">
        <v>641</v>
      </c>
      <c r="E30" s="19" t="s">
        <v>644</v>
      </c>
      <c r="F30" s="58">
        <v>8</v>
      </c>
      <c r="G30" s="43">
        <v>24</v>
      </c>
      <c r="H30" s="44">
        <v>0.1</v>
      </c>
      <c r="I30" s="44" t="s">
        <v>38</v>
      </c>
      <c r="J30" s="43">
        <v>121</v>
      </c>
      <c r="K30" s="44">
        <v>38.299999999999997</v>
      </c>
      <c r="L30" s="44" t="s">
        <v>122</v>
      </c>
      <c r="M30" s="43" t="s">
        <v>115</v>
      </c>
      <c r="N30" s="45">
        <v>3</v>
      </c>
      <c r="O30" s="45">
        <v>3</v>
      </c>
      <c r="P30" s="45">
        <v>2</v>
      </c>
      <c r="Q30" s="45">
        <v>1</v>
      </c>
      <c r="R30" s="46">
        <v>3.97</v>
      </c>
      <c r="S30" s="46">
        <v>4.1500000000000004</v>
      </c>
      <c r="T30" s="46">
        <v>217</v>
      </c>
      <c r="U30" s="47">
        <v>2849</v>
      </c>
      <c r="V30" s="23">
        <v>24</v>
      </c>
      <c r="W30" s="38">
        <v>2.5</v>
      </c>
      <c r="X30" s="38">
        <v>19</v>
      </c>
      <c r="Y30" s="38">
        <v>1.5</v>
      </c>
      <c r="Z30" s="38">
        <v>0</v>
      </c>
      <c r="AA30" s="44">
        <v>122</v>
      </c>
      <c r="AB30" s="44">
        <f>AA30/24</f>
        <v>5.083333333333333</v>
      </c>
      <c r="AC30" s="52" t="s">
        <v>113</v>
      </c>
      <c r="AD30" s="13">
        <v>223</v>
      </c>
      <c r="AE30" s="20"/>
      <c r="AF30" s="20">
        <v>0</v>
      </c>
      <c r="AG30" s="20">
        <v>0</v>
      </c>
      <c r="AH30" s="20">
        <v>0.7</v>
      </c>
      <c r="AI30" s="20">
        <v>3.3</v>
      </c>
      <c r="AJ30" s="20">
        <v>0.1</v>
      </c>
      <c r="AK30" s="20">
        <v>0</v>
      </c>
      <c r="AL30" s="24">
        <f t="shared" si="2"/>
        <v>4.0999999999999996</v>
      </c>
      <c r="AM30" s="12"/>
      <c r="AN30" s="12"/>
      <c r="AO30" s="12"/>
      <c r="AP30" s="12"/>
      <c r="AQ30" s="55">
        <f t="shared" si="1"/>
        <v>169.50000000000011</v>
      </c>
      <c r="AR30" s="21"/>
      <c r="AS30" s="53">
        <v>289</v>
      </c>
      <c r="AT30" s="26"/>
      <c r="AU30" s="49"/>
      <c r="AV30" s="139"/>
      <c r="AW30" s="140"/>
    </row>
    <row r="31" spans="1:49" s="4" customFormat="1" ht="19.399999999999999" customHeight="1">
      <c r="A31" s="18" t="s">
        <v>134</v>
      </c>
      <c r="B31" s="18" t="s">
        <v>642</v>
      </c>
      <c r="C31" s="19" t="s">
        <v>127</v>
      </c>
      <c r="D31" s="19" t="s">
        <v>514</v>
      </c>
      <c r="E31" s="19" t="s">
        <v>645</v>
      </c>
      <c r="F31" s="58">
        <v>8</v>
      </c>
      <c r="G31" s="43">
        <v>24</v>
      </c>
      <c r="H31" s="44">
        <v>0.1</v>
      </c>
      <c r="I31" s="44" t="s">
        <v>38</v>
      </c>
      <c r="J31" s="43">
        <v>121</v>
      </c>
      <c r="K31" s="44">
        <v>38.299999999999997</v>
      </c>
      <c r="L31" s="44" t="s">
        <v>122</v>
      </c>
      <c r="M31" s="43" t="s">
        <v>115</v>
      </c>
      <c r="N31" s="45">
        <v>3</v>
      </c>
      <c r="O31" s="45">
        <v>2</v>
      </c>
      <c r="P31" s="45">
        <v>1</v>
      </c>
      <c r="Q31" s="45">
        <v>1</v>
      </c>
      <c r="R31" s="46">
        <v>3.97</v>
      </c>
      <c r="S31" s="46">
        <v>4.1500000000000004</v>
      </c>
      <c r="T31" s="46">
        <v>217</v>
      </c>
      <c r="U31" s="47">
        <v>2849</v>
      </c>
      <c r="V31" s="23">
        <v>24</v>
      </c>
      <c r="W31" s="38">
        <v>0</v>
      </c>
      <c r="X31" s="38">
        <v>0</v>
      </c>
      <c r="Y31" s="38">
        <v>24</v>
      </c>
      <c r="Z31" s="38">
        <v>0</v>
      </c>
      <c r="AA31" s="44">
        <v>0</v>
      </c>
      <c r="AB31" s="44">
        <v>0</v>
      </c>
      <c r="AC31" s="52" t="s">
        <v>113</v>
      </c>
      <c r="AD31" s="13">
        <v>197</v>
      </c>
      <c r="AE31" s="20"/>
      <c r="AF31" s="20">
        <v>0</v>
      </c>
      <c r="AG31" s="20">
        <v>0</v>
      </c>
      <c r="AH31" s="20">
        <v>0</v>
      </c>
      <c r="AI31" s="20">
        <v>0</v>
      </c>
      <c r="AJ31" s="20">
        <v>1.4</v>
      </c>
      <c r="AK31" s="20">
        <v>0</v>
      </c>
      <c r="AL31" s="24">
        <f t="shared" si="2"/>
        <v>1.4</v>
      </c>
      <c r="AM31" s="12"/>
      <c r="AN31" s="12"/>
      <c r="AO31" s="12"/>
      <c r="AP31" s="12"/>
      <c r="AQ31" s="55">
        <f t="shared" si="1"/>
        <v>168.10000000000011</v>
      </c>
      <c r="AR31" s="21"/>
      <c r="AS31" s="12">
        <v>283</v>
      </c>
      <c r="AT31" s="26"/>
      <c r="AU31" s="49"/>
      <c r="AV31" s="139"/>
      <c r="AW31" s="140"/>
    </row>
    <row r="32" spans="1:49" s="4" customFormat="1" ht="19.399999999999999" customHeight="1">
      <c r="A32" s="18" t="s">
        <v>134</v>
      </c>
      <c r="B32" s="18" t="s">
        <v>642</v>
      </c>
      <c r="C32" s="19" t="s">
        <v>127</v>
      </c>
      <c r="D32" s="19" t="s">
        <v>514</v>
      </c>
      <c r="E32" s="19" t="s">
        <v>646</v>
      </c>
      <c r="F32" s="58">
        <v>8</v>
      </c>
      <c r="G32" s="43">
        <v>24</v>
      </c>
      <c r="H32" s="44">
        <v>0.1</v>
      </c>
      <c r="I32" s="44" t="s">
        <v>38</v>
      </c>
      <c r="J32" s="43">
        <v>121</v>
      </c>
      <c r="K32" s="44">
        <v>38.299999999999997</v>
      </c>
      <c r="L32" s="44" t="s">
        <v>122</v>
      </c>
      <c r="M32" s="43" t="s">
        <v>115</v>
      </c>
      <c r="N32" s="45">
        <v>3</v>
      </c>
      <c r="O32" s="45">
        <v>2</v>
      </c>
      <c r="P32" s="45">
        <v>1</v>
      </c>
      <c r="Q32" s="45">
        <v>1</v>
      </c>
      <c r="R32" s="46">
        <v>3.97</v>
      </c>
      <c r="S32" s="46">
        <v>4.1500000000000004</v>
      </c>
      <c r="T32" s="46">
        <v>217</v>
      </c>
      <c r="U32" s="47">
        <v>2849</v>
      </c>
      <c r="V32" s="23">
        <v>24</v>
      </c>
      <c r="W32" s="38">
        <v>0</v>
      </c>
      <c r="X32" s="38">
        <v>0</v>
      </c>
      <c r="Y32" s="38">
        <v>24</v>
      </c>
      <c r="Z32" s="38">
        <v>0</v>
      </c>
      <c r="AA32" s="44">
        <v>0</v>
      </c>
      <c r="AB32" s="44">
        <v>0</v>
      </c>
      <c r="AC32" s="52" t="s">
        <v>113</v>
      </c>
      <c r="AD32" s="43">
        <v>175</v>
      </c>
      <c r="AE32" s="40"/>
      <c r="AF32" s="20">
        <v>0</v>
      </c>
      <c r="AG32" s="20">
        <v>0</v>
      </c>
      <c r="AH32" s="20">
        <v>0</v>
      </c>
      <c r="AI32" s="20">
        <v>0</v>
      </c>
      <c r="AJ32" s="20">
        <v>1.4</v>
      </c>
      <c r="AK32" s="20">
        <v>0</v>
      </c>
      <c r="AL32" s="24">
        <f t="shared" si="2"/>
        <v>1.4</v>
      </c>
      <c r="AM32" s="12"/>
      <c r="AN32" s="12"/>
      <c r="AO32" s="12"/>
      <c r="AP32" s="12"/>
      <c r="AQ32" s="55">
        <f t="shared" si="1"/>
        <v>166.7000000000001</v>
      </c>
      <c r="AR32" s="38"/>
      <c r="AS32" s="38">
        <v>275</v>
      </c>
      <c r="AT32" s="26"/>
      <c r="AU32" s="49"/>
      <c r="AV32" s="139"/>
      <c r="AW32" s="140"/>
    </row>
    <row r="33" spans="1:49" s="4" customFormat="1" ht="19.399999999999999" customHeight="1">
      <c r="A33" s="18" t="s">
        <v>134</v>
      </c>
      <c r="B33" s="18" t="s">
        <v>642</v>
      </c>
      <c r="C33" s="19" t="s">
        <v>127</v>
      </c>
      <c r="D33" s="19" t="s">
        <v>175</v>
      </c>
      <c r="E33" s="19" t="s">
        <v>648</v>
      </c>
      <c r="F33" s="58">
        <v>8</v>
      </c>
      <c r="G33" s="43">
        <v>24</v>
      </c>
      <c r="H33" s="44">
        <v>0.1</v>
      </c>
      <c r="I33" s="44" t="s">
        <v>38</v>
      </c>
      <c r="J33" s="43">
        <v>121</v>
      </c>
      <c r="K33" s="44">
        <v>38.299999999999997</v>
      </c>
      <c r="L33" s="44" t="s">
        <v>122</v>
      </c>
      <c r="M33" s="43" t="s">
        <v>647</v>
      </c>
      <c r="N33" s="45">
        <v>3</v>
      </c>
      <c r="O33" s="45">
        <v>2</v>
      </c>
      <c r="P33" s="45">
        <v>1</v>
      </c>
      <c r="Q33" s="45">
        <v>1</v>
      </c>
      <c r="R33" s="46">
        <v>3.97</v>
      </c>
      <c r="S33" s="46">
        <v>4.1500000000000004</v>
      </c>
      <c r="T33" s="46">
        <v>217</v>
      </c>
      <c r="U33" s="47">
        <v>2849</v>
      </c>
      <c r="V33" s="23">
        <v>24</v>
      </c>
      <c r="W33" s="38">
        <v>0</v>
      </c>
      <c r="X33" s="38">
        <v>0</v>
      </c>
      <c r="Y33" s="38">
        <v>24</v>
      </c>
      <c r="Z33" s="38">
        <v>0</v>
      </c>
      <c r="AA33" s="44">
        <v>0</v>
      </c>
      <c r="AB33" s="44">
        <v>0</v>
      </c>
      <c r="AC33" s="52" t="s">
        <v>113</v>
      </c>
      <c r="AD33" s="43">
        <v>234</v>
      </c>
      <c r="AE33" s="40"/>
      <c r="AF33" s="40">
        <v>0</v>
      </c>
      <c r="AG33" s="40">
        <v>0</v>
      </c>
      <c r="AH33" s="38">
        <v>0</v>
      </c>
      <c r="AI33" s="38">
        <v>0</v>
      </c>
      <c r="AJ33" s="38">
        <v>1.5</v>
      </c>
      <c r="AK33" s="38">
        <v>0</v>
      </c>
      <c r="AL33" s="24">
        <f t="shared" si="2"/>
        <v>1.5</v>
      </c>
      <c r="AM33" s="12"/>
      <c r="AN33" s="12"/>
      <c r="AO33" s="12"/>
      <c r="AP33" s="12"/>
      <c r="AQ33" s="55">
        <f t="shared" si="1"/>
        <v>165.2000000000001</v>
      </c>
      <c r="AR33" s="38"/>
      <c r="AS33" s="38">
        <v>271</v>
      </c>
      <c r="AT33" s="26"/>
      <c r="AU33" s="49"/>
      <c r="AV33" s="136"/>
      <c r="AW33" s="137"/>
    </row>
    <row r="34" spans="1:49" s="4" customFormat="1" ht="19.399999999999999" customHeight="1">
      <c r="A34" s="18" t="s">
        <v>134</v>
      </c>
      <c r="B34" s="18" t="s">
        <v>642</v>
      </c>
      <c r="C34" s="19" t="s">
        <v>127</v>
      </c>
      <c r="D34" s="19" t="s">
        <v>175</v>
      </c>
      <c r="E34" s="19" t="s">
        <v>649</v>
      </c>
      <c r="F34" s="58">
        <v>8</v>
      </c>
      <c r="G34" s="43">
        <v>24</v>
      </c>
      <c r="H34" s="44">
        <v>0.1</v>
      </c>
      <c r="I34" s="44" t="s">
        <v>38</v>
      </c>
      <c r="J34" s="43">
        <v>121</v>
      </c>
      <c r="K34" s="44">
        <v>38.299999999999997</v>
      </c>
      <c r="L34" s="44" t="s">
        <v>122</v>
      </c>
      <c r="M34" s="43" t="s">
        <v>117</v>
      </c>
      <c r="N34" s="45">
        <v>3</v>
      </c>
      <c r="O34" s="45">
        <v>2</v>
      </c>
      <c r="P34" s="45">
        <v>1</v>
      </c>
      <c r="Q34" s="45">
        <v>1</v>
      </c>
      <c r="R34" s="46">
        <v>3.97</v>
      </c>
      <c r="S34" s="46">
        <v>4.1500000000000004</v>
      </c>
      <c r="T34" s="46">
        <v>217</v>
      </c>
      <c r="U34" s="47">
        <v>2849</v>
      </c>
      <c r="V34" s="23">
        <v>24</v>
      </c>
      <c r="W34" s="38">
        <v>0</v>
      </c>
      <c r="X34" s="38">
        <v>0</v>
      </c>
      <c r="Y34" s="38">
        <v>24</v>
      </c>
      <c r="Z34" s="38">
        <v>0</v>
      </c>
      <c r="AA34" s="44">
        <v>0</v>
      </c>
      <c r="AB34" s="44">
        <v>0</v>
      </c>
      <c r="AC34" s="52" t="s">
        <v>113</v>
      </c>
      <c r="AD34" s="40">
        <v>233</v>
      </c>
      <c r="AE34" s="40"/>
      <c r="AF34" s="41">
        <v>0</v>
      </c>
      <c r="AG34" s="40">
        <v>0</v>
      </c>
      <c r="AH34" s="38">
        <v>0</v>
      </c>
      <c r="AI34" s="38">
        <v>0</v>
      </c>
      <c r="AJ34" s="38">
        <v>1.4</v>
      </c>
      <c r="AK34" s="38">
        <v>0</v>
      </c>
      <c r="AL34" s="24">
        <f t="shared" si="2"/>
        <v>1.4</v>
      </c>
      <c r="AM34" s="12"/>
      <c r="AN34" s="12"/>
      <c r="AO34" s="12"/>
      <c r="AP34" s="12"/>
      <c r="AQ34" s="55">
        <f t="shared" si="1"/>
        <v>163.8000000000001</v>
      </c>
      <c r="AR34" s="38"/>
      <c r="AS34" s="38">
        <v>268</v>
      </c>
      <c r="AT34" s="26"/>
      <c r="AU34" s="49"/>
      <c r="AV34" s="136"/>
      <c r="AW34" s="137"/>
    </row>
    <row r="35" spans="1:49" s="4" customFormat="1" ht="19.399999999999999" customHeight="1">
      <c r="A35" s="18" t="s">
        <v>134</v>
      </c>
      <c r="B35" s="18" t="s">
        <v>642</v>
      </c>
      <c r="C35" s="19" t="s">
        <v>127</v>
      </c>
      <c r="D35" s="19" t="s">
        <v>175</v>
      </c>
      <c r="E35" s="19" t="s">
        <v>650</v>
      </c>
      <c r="F35" s="58">
        <v>8</v>
      </c>
      <c r="G35" s="43">
        <v>24</v>
      </c>
      <c r="H35" s="44">
        <v>0.1</v>
      </c>
      <c r="I35" s="44" t="s">
        <v>38</v>
      </c>
      <c r="J35" s="43">
        <v>121</v>
      </c>
      <c r="K35" s="44">
        <v>38.299999999999997</v>
      </c>
      <c r="L35" s="44" t="s">
        <v>122</v>
      </c>
      <c r="M35" s="43" t="s">
        <v>115</v>
      </c>
      <c r="N35" s="45">
        <v>3</v>
      </c>
      <c r="O35" s="45">
        <v>2</v>
      </c>
      <c r="P35" s="45">
        <v>1</v>
      </c>
      <c r="Q35" s="45">
        <v>1</v>
      </c>
      <c r="R35" s="46">
        <v>3.97</v>
      </c>
      <c r="S35" s="46">
        <v>4.1500000000000004</v>
      </c>
      <c r="T35" s="46">
        <v>217</v>
      </c>
      <c r="U35" s="47">
        <v>2849</v>
      </c>
      <c r="V35" s="23">
        <v>24</v>
      </c>
      <c r="W35" s="38">
        <v>0</v>
      </c>
      <c r="X35" s="38">
        <v>0</v>
      </c>
      <c r="Y35" s="38">
        <v>24</v>
      </c>
      <c r="Z35" s="38">
        <v>0</v>
      </c>
      <c r="AA35" s="44">
        <v>0</v>
      </c>
      <c r="AB35" s="44">
        <v>0</v>
      </c>
      <c r="AC35" s="52" t="s">
        <v>113</v>
      </c>
      <c r="AD35" s="40">
        <v>231</v>
      </c>
      <c r="AE35" s="40"/>
      <c r="AF35" s="41">
        <v>0</v>
      </c>
      <c r="AG35" s="40">
        <v>0</v>
      </c>
      <c r="AH35" s="38">
        <v>0</v>
      </c>
      <c r="AI35" s="38">
        <v>0</v>
      </c>
      <c r="AJ35" s="38">
        <v>1.4</v>
      </c>
      <c r="AK35" s="38">
        <v>0</v>
      </c>
      <c r="AL35" s="24">
        <f t="shared" si="2"/>
        <v>1.4</v>
      </c>
      <c r="AM35" s="12"/>
      <c r="AN35" s="12"/>
      <c r="AO35" s="12"/>
      <c r="AP35" s="12"/>
      <c r="AQ35" s="55">
        <f t="shared" si="1"/>
        <v>162.40000000000009</v>
      </c>
      <c r="AR35" s="38"/>
      <c r="AS35" s="38">
        <v>264</v>
      </c>
      <c r="AT35" s="26"/>
      <c r="AU35" s="49"/>
      <c r="AV35" s="136"/>
      <c r="AW35" s="137"/>
    </row>
    <row r="36" spans="1:49" s="4" customFormat="1" ht="19.399999999999999" customHeight="1">
      <c r="A36" s="18" t="s">
        <v>134</v>
      </c>
      <c r="B36" s="18" t="s">
        <v>642</v>
      </c>
      <c r="C36" s="19" t="s">
        <v>127</v>
      </c>
      <c r="D36" s="19" t="s">
        <v>175</v>
      </c>
      <c r="E36" s="19" t="s">
        <v>651</v>
      </c>
      <c r="F36" s="58">
        <v>8</v>
      </c>
      <c r="G36" s="43">
        <v>24</v>
      </c>
      <c r="H36" s="44">
        <v>0.1</v>
      </c>
      <c r="I36" s="44" t="s">
        <v>38</v>
      </c>
      <c r="J36" s="43">
        <v>121</v>
      </c>
      <c r="K36" s="44">
        <v>38.299999999999997</v>
      </c>
      <c r="L36" s="44" t="s">
        <v>122</v>
      </c>
      <c r="M36" s="43" t="s">
        <v>117</v>
      </c>
      <c r="N36" s="45">
        <v>4</v>
      </c>
      <c r="O36" s="45">
        <v>5</v>
      </c>
      <c r="P36" s="45">
        <v>2</v>
      </c>
      <c r="Q36" s="45">
        <v>1</v>
      </c>
      <c r="R36" s="46">
        <v>3.97</v>
      </c>
      <c r="S36" s="46">
        <v>4.1500000000000004</v>
      </c>
      <c r="T36" s="46">
        <v>217</v>
      </c>
      <c r="U36" s="47">
        <v>2849</v>
      </c>
      <c r="V36" s="23">
        <v>24</v>
      </c>
      <c r="W36" s="38">
        <v>0</v>
      </c>
      <c r="X36" s="38">
        <v>0</v>
      </c>
      <c r="Y36" s="38">
        <v>24</v>
      </c>
      <c r="Z36" s="38">
        <v>0</v>
      </c>
      <c r="AA36" s="44">
        <v>0</v>
      </c>
      <c r="AB36" s="44">
        <v>0</v>
      </c>
      <c r="AC36" s="52" t="s">
        <v>113</v>
      </c>
      <c r="AD36" s="40">
        <v>211</v>
      </c>
      <c r="AE36" s="40"/>
      <c r="AF36" s="41">
        <v>0</v>
      </c>
      <c r="AG36" s="40">
        <v>0</v>
      </c>
      <c r="AH36" s="38">
        <v>0</v>
      </c>
      <c r="AI36" s="38">
        <v>0</v>
      </c>
      <c r="AJ36" s="38">
        <v>1.4</v>
      </c>
      <c r="AK36" s="38">
        <v>0</v>
      </c>
      <c r="AL36" s="24">
        <f t="shared" si="2"/>
        <v>1.4</v>
      </c>
      <c r="AM36" s="12"/>
      <c r="AN36" s="12"/>
      <c r="AO36" s="12"/>
      <c r="AP36" s="12"/>
      <c r="AQ36" s="55">
        <f t="shared" si="1"/>
        <v>161.00000000000009</v>
      </c>
      <c r="AR36" s="38"/>
      <c r="AS36" s="38">
        <v>254</v>
      </c>
      <c r="AT36" s="26"/>
      <c r="AU36" s="49"/>
      <c r="AV36" s="136"/>
      <c r="AW36" s="137"/>
    </row>
    <row r="37" spans="1:49" ht="18" customHeight="1">
      <c r="A37" s="18" t="s">
        <v>134</v>
      </c>
      <c r="B37" s="18" t="s">
        <v>654</v>
      </c>
      <c r="C37" s="19" t="s">
        <v>175</v>
      </c>
      <c r="D37" s="19" t="s">
        <v>175</v>
      </c>
      <c r="E37" s="19" t="s">
        <v>653</v>
      </c>
      <c r="F37" s="58">
        <v>8</v>
      </c>
      <c r="G37" s="43">
        <v>23</v>
      </c>
      <c r="H37" s="44">
        <v>35.299999999999997</v>
      </c>
      <c r="I37" s="44" t="s">
        <v>38</v>
      </c>
      <c r="J37" s="43">
        <v>121</v>
      </c>
      <c r="K37" s="44">
        <v>36.200000000000003</v>
      </c>
      <c r="L37" s="44" t="s">
        <v>122</v>
      </c>
      <c r="M37" s="43" t="s">
        <v>117</v>
      </c>
      <c r="N37" s="45">
        <v>4</v>
      </c>
      <c r="O37" s="45">
        <v>7</v>
      </c>
      <c r="P37" s="45">
        <v>5</v>
      </c>
      <c r="Q37" s="45">
        <v>4</v>
      </c>
      <c r="R37" s="46">
        <v>3.92</v>
      </c>
      <c r="S37" s="46">
        <v>3.98</v>
      </c>
      <c r="T37" s="46">
        <v>217</v>
      </c>
      <c r="U37" s="47">
        <v>2849</v>
      </c>
      <c r="V37" s="23">
        <v>24</v>
      </c>
      <c r="W37" s="38">
        <v>1</v>
      </c>
      <c r="X37" s="38">
        <v>2.5</v>
      </c>
      <c r="Y37" s="38">
        <v>20.5</v>
      </c>
      <c r="Z37" s="38">
        <v>0</v>
      </c>
      <c r="AA37" s="44">
        <v>24</v>
      </c>
      <c r="AB37" s="44">
        <f t="shared" ref="AB37:AB43" si="3">AA37/24</f>
        <v>1</v>
      </c>
      <c r="AC37" s="52" t="s">
        <v>126</v>
      </c>
      <c r="AD37" s="40" t="s">
        <v>652</v>
      </c>
      <c r="AE37" s="40"/>
      <c r="AF37" s="41" t="s">
        <v>121</v>
      </c>
      <c r="AG37" s="40" t="s">
        <v>141</v>
      </c>
      <c r="AH37" s="38">
        <v>0.2</v>
      </c>
      <c r="AI37" s="38">
        <v>0.3</v>
      </c>
      <c r="AJ37" s="38">
        <v>1.4</v>
      </c>
      <c r="AK37" s="38">
        <v>0</v>
      </c>
      <c r="AL37" s="24">
        <f t="shared" si="2"/>
        <v>1.9</v>
      </c>
      <c r="AM37" s="12"/>
      <c r="AN37" s="12"/>
      <c r="AO37" s="12"/>
      <c r="AP37" s="12"/>
      <c r="AQ37" s="55">
        <f t="shared" si="1"/>
        <v>159.10000000000008</v>
      </c>
      <c r="AR37" s="38"/>
      <c r="AS37" s="38">
        <v>250</v>
      </c>
      <c r="AT37" s="26"/>
      <c r="AU37" s="49"/>
      <c r="AV37" s="136"/>
      <c r="AW37" s="137"/>
    </row>
    <row r="38" spans="1:49" ht="19.399999999999999" customHeight="1">
      <c r="A38" s="18" t="s">
        <v>134</v>
      </c>
      <c r="B38" s="18" t="s">
        <v>654</v>
      </c>
      <c r="C38" s="19" t="s">
        <v>175</v>
      </c>
      <c r="D38" s="19" t="s">
        <v>175</v>
      </c>
      <c r="E38" s="19" t="s">
        <v>657</v>
      </c>
      <c r="F38" s="58">
        <v>8</v>
      </c>
      <c r="G38" s="43">
        <v>22</v>
      </c>
      <c r="H38" s="44">
        <v>20.399999999999999</v>
      </c>
      <c r="I38" s="44" t="s">
        <v>38</v>
      </c>
      <c r="J38" s="43">
        <v>121</v>
      </c>
      <c r="K38" s="44">
        <v>35.5</v>
      </c>
      <c r="L38" s="44" t="s">
        <v>122</v>
      </c>
      <c r="M38" s="43" t="s">
        <v>117</v>
      </c>
      <c r="N38" s="45">
        <v>4</v>
      </c>
      <c r="O38" s="45">
        <v>7</v>
      </c>
      <c r="P38" s="45">
        <v>5</v>
      </c>
      <c r="Q38" s="45">
        <v>4</v>
      </c>
      <c r="R38" s="46">
        <v>3.92</v>
      </c>
      <c r="S38" s="46">
        <v>3.98</v>
      </c>
      <c r="T38" s="46">
        <v>217</v>
      </c>
      <c r="U38" s="47">
        <v>2849</v>
      </c>
      <c r="V38" s="23">
        <v>24</v>
      </c>
      <c r="W38" s="38">
        <v>0</v>
      </c>
      <c r="X38" s="38">
        <v>24</v>
      </c>
      <c r="Y38" s="38">
        <v>0</v>
      </c>
      <c r="Z38" s="38">
        <v>0</v>
      </c>
      <c r="AA38" s="44">
        <v>139.69999999999999</v>
      </c>
      <c r="AB38" s="44">
        <f t="shared" si="3"/>
        <v>5.8208333333333329</v>
      </c>
      <c r="AC38" s="52" t="s">
        <v>126</v>
      </c>
      <c r="AD38" s="40" t="s">
        <v>655</v>
      </c>
      <c r="AE38" s="40"/>
      <c r="AF38" s="41" t="s">
        <v>121</v>
      </c>
      <c r="AG38" s="40" t="s">
        <v>656</v>
      </c>
      <c r="AH38" s="38">
        <v>0</v>
      </c>
      <c r="AI38" s="38">
        <v>3.9</v>
      </c>
      <c r="AJ38" s="38">
        <v>0</v>
      </c>
      <c r="AK38" s="38">
        <v>0</v>
      </c>
      <c r="AL38" s="24">
        <f t="shared" si="2"/>
        <v>3.9</v>
      </c>
      <c r="AM38" s="12"/>
      <c r="AN38" s="12"/>
      <c r="AO38" s="12"/>
      <c r="AP38" s="12"/>
      <c r="AQ38" s="55">
        <f t="shared" si="1"/>
        <v>155.20000000000007</v>
      </c>
      <c r="AR38" s="38"/>
      <c r="AS38" s="38">
        <v>246</v>
      </c>
      <c r="AT38" s="26"/>
      <c r="AU38" s="49"/>
      <c r="AV38" s="136"/>
      <c r="AW38" s="137"/>
    </row>
    <row r="39" spans="1:49" ht="19.399999999999999" customHeight="1">
      <c r="A39" s="18" t="s">
        <v>134</v>
      </c>
      <c r="B39" s="18" t="s">
        <v>654</v>
      </c>
      <c r="C39" s="19" t="s">
        <v>175</v>
      </c>
      <c r="D39" s="19" t="s">
        <v>175</v>
      </c>
      <c r="E39" s="19" t="s">
        <v>659</v>
      </c>
      <c r="F39" s="58">
        <v>8</v>
      </c>
      <c r="G39" s="43">
        <v>21</v>
      </c>
      <c r="H39" s="44">
        <v>57.2</v>
      </c>
      <c r="I39" s="44" t="s">
        <v>38</v>
      </c>
      <c r="J39" s="43">
        <v>121</v>
      </c>
      <c r="K39" s="44">
        <v>32.5</v>
      </c>
      <c r="L39" s="44" t="s">
        <v>122</v>
      </c>
      <c r="M39" s="43" t="s">
        <v>117</v>
      </c>
      <c r="N39" s="45">
        <v>4</v>
      </c>
      <c r="O39" s="45">
        <v>7</v>
      </c>
      <c r="P39" s="45">
        <v>5</v>
      </c>
      <c r="Q39" s="45">
        <v>4</v>
      </c>
      <c r="R39" s="46">
        <v>3.92</v>
      </c>
      <c r="S39" s="46">
        <v>3.98</v>
      </c>
      <c r="T39" s="46">
        <v>217</v>
      </c>
      <c r="U39" s="47">
        <v>2849</v>
      </c>
      <c r="V39" s="23">
        <v>24</v>
      </c>
      <c r="W39" s="38">
        <v>0</v>
      </c>
      <c r="X39" s="38">
        <v>24</v>
      </c>
      <c r="Y39" s="38">
        <v>0</v>
      </c>
      <c r="Z39" s="38">
        <v>0</v>
      </c>
      <c r="AA39" s="44">
        <v>127.5</v>
      </c>
      <c r="AB39" s="44">
        <f t="shared" si="3"/>
        <v>5.3125</v>
      </c>
      <c r="AC39" s="52" t="s">
        <v>125</v>
      </c>
      <c r="AD39" s="40" t="s">
        <v>658</v>
      </c>
      <c r="AE39" s="40"/>
      <c r="AF39" s="41" t="s">
        <v>158</v>
      </c>
      <c r="AG39" s="40" t="s">
        <v>144</v>
      </c>
      <c r="AH39" s="38">
        <v>0</v>
      </c>
      <c r="AI39" s="38">
        <v>4.2</v>
      </c>
      <c r="AJ39" s="38">
        <v>0</v>
      </c>
      <c r="AK39" s="38">
        <v>0</v>
      </c>
      <c r="AL39" s="24">
        <f t="shared" si="2"/>
        <v>4.2</v>
      </c>
      <c r="AM39" s="12"/>
      <c r="AN39" s="12"/>
      <c r="AO39" s="12"/>
      <c r="AP39" s="12"/>
      <c r="AQ39" s="55">
        <f t="shared" si="1"/>
        <v>151.00000000000009</v>
      </c>
      <c r="AR39" s="38"/>
      <c r="AS39" s="38">
        <v>242</v>
      </c>
      <c r="AT39" s="26"/>
      <c r="AU39" s="49"/>
      <c r="AV39" s="136"/>
      <c r="AW39" s="137"/>
    </row>
    <row r="40" spans="1:49" ht="19.399999999999999" customHeight="1">
      <c r="A40" s="18" t="s">
        <v>134</v>
      </c>
      <c r="B40" s="18" t="s">
        <v>654</v>
      </c>
      <c r="C40" s="19" t="s">
        <v>175</v>
      </c>
      <c r="D40" s="19" t="s">
        <v>175</v>
      </c>
      <c r="E40" s="19" t="s">
        <v>661</v>
      </c>
      <c r="F40" s="58">
        <v>8</v>
      </c>
      <c r="G40" s="43">
        <v>23</v>
      </c>
      <c r="H40" s="44">
        <v>41.5</v>
      </c>
      <c r="I40" s="44" t="s">
        <v>38</v>
      </c>
      <c r="J40" s="43">
        <v>121</v>
      </c>
      <c r="K40" s="44">
        <v>39.799999999999997</v>
      </c>
      <c r="L40" s="44" t="s">
        <v>122</v>
      </c>
      <c r="M40" s="43" t="s">
        <v>117</v>
      </c>
      <c r="N40" s="45">
        <v>3</v>
      </c>
      <c r="O40" s="45">
        <v>7</v>
      </c>
      <c r="P40" s="45">
        <v>5</v>
      </c>
      <c r="Q40" s="45">
        <v>4</v>
      </c>
      <c r="R40" s="46">
        <v>3.92</v>
      </c>
      <c r="S40" s="46">
        <v>3.98</v>
      </c>
      <c r="T40" s="46">
        <v>217</v>
      </c>
      <c r="U40" s="47">
        <v>2849</v>
      </c>
      <c r="V40" s="23">
        <v>24</v>
      </c>
      <c r="W40" s="38">
        <v>0</v>
      </c>
      <c r="X40" s="38">
        <v>24</v>
      </c>
      <c r="Y40" s="38">
        <v>0</v>
      </c>
      <c r="Z40" s="38">
        <v>0</v>
      </c>
      <c r="AA40" s="44">
        <v>114.5</v>
      </c>
      <c r="AB40" s="44">
        <f t="shared" si="3"/>
        <v>4.770833333333333</v>
      </c>
      <c r="AC40" s="52" t="s">
        <v>125</v>
      </c>
      <c r="AD40" s="40" t="s">
        <v>660</v>
      </c>
      <c r="AE40" s="40"/>
      <c r="AF40" s="41" t="s">
        <v>121</v>
      </c>
      <c r="AG40" s="40" t="s">
        <v>378</v>
      </c>
      <c r="AH40" s="38">
        <v>0</v>
      </c>
      <c r="AI40" s="38">
        <v>4</v>
      </c>
      <c r="AJ40" s="38">
        <v>0</v>
      </c>
      <c r="AK40" s="38">
        <v>0</v>
      </c>
      <c r="AL40" s="24">
        <f t="shared" si="2"/>
        <v>4</v>
      </c>
      <c r="AM40" s="12"/>
      <c r="AN40" s="12"/>
      <c r="AO40" s="12"/>
      <c r="AP40" s="12"/>
      <c r="AQ40" s="55">
        <f t="shared" si="1"/>
        <v>147.00000000000009</v>
      </c>
      <c r="AR40" s="38"/>
      <c r="AS40" s="38">
        <v>235</v>
      </c>
      <c r="AT40" s="26"/>
      <c r="AU40" s="49"/>
      <c r="AV40" s="136"/>
      <c r="AW40" s="137"/>
    </row>
    <row r="41" spans="1:49" ht="19.399999999999999" customHeight="1">
      <c r="A41" s="18" t="s">
        <v>134</v>
      </c>
      <c r="B41" s="18" t="s">
        <v>654</v>
      </c>
      <c r="C41" s="19" t="s">
        <v>175</v>
      </c>
      <c r="D41" s="19" t="s">
        <v>175</v>
      </c>
      <c r="E41" s="19" t="s">
        <v>662</v>
      </c>
      <c r="F41" s="58">
        <v>8</v>
      </c>
      <c r="G41" s="43">
        <v>24</v>
      </c>
      <c r="H41" s="44">
        <v>0.1</v>
      </c>
      <c r="I41" s="44" t="s">
        <v>38</v>
      </c>
      <c r="J41" s="43">
        <v>121</v>
      </c>
      <c r="K41" s="44">
        <v>38.299999999999997</v>
      </c>
      <c r="L41" s="44" t="s">
        <v>122</v>
      </c>
      <c r="M41" s="43" t="s">
        <v>604</v>
      </c>
      <c r="N41" s="45">
        <v>3</v>
      </c>
      <c r="O41" s="45">
        <v>4</v>
      </c>
      <c r="P41" s="45">
        <v>2</v>
      </c>
      <c r="Q41" s="45">
        <v>1</v>
      </c>
      <c r="R41" s="46">
        <v>3.92</v>
      </c>
      <c r="S41" s="46">
        <v>3.98</v>
      </c>
      <c r="T41" s="46">
        <v>217</v>
      </c>
      <c r="U41" s="47">
        <v>2849</v>
      </c>
      <c r="V41" s="23">
        <v>24</v>
      </c>
      <c r="W41" s="38">
        <v>0</v>
      </c>
      <c r="X41" s="38">
        <v>4.3</v>
      </c>
      <c r="Y41" s="38">
        <v>19.7</v>
      </c>
      <c r="Z41" s="38">
        <v>0</v>
      </c>
      <c r="AA41" s="44">
        <v>20.3</v>
      </c>
      <c r="AB41" s="44">
        <f t="shared" si="3"/>
        <v>0.84583333333333333</v>
      </c>
      <c r="AC41" s="52" t="s">
        <v>119</v>
      </c>
      <c r="AD41" s="40">
        <v>183</v>
      </c>
      <c r="AE41" s="40"/>
      <c r="AF41" s="41">
        <v>0</v>
      </c>
      <c r="AG41" s="40">
        <v>0</v>
      </c>
      <c r="AH41" s="38">
        <v>0</v>
      </c>
      <c r="AI41" s="38">
        <v>1.3</v>
      </c>
      <c r="AJ41" s="38">
        <v>0.9</v>
      </c>
      <c r="AK41" s="38">
        <v>0</v>
      </c>
      <c r="AL41" s="24">
        <f t="shared" si="2"/>
        <v>2.2000000000000002</v>
      </c>
      <c r="AM41" s="12"/>
      <c r="AN41" s="12"/>
      <c r="AO41" s="12"/>
      <c r="AP41" s="12"/>
      <c r="AQ41" s="55">
        <f t="shared" si="1"/>
        <v>144.8000000000001</v>
      </c>
      <c r="AR41" s="38"/>
      <c r="AS41" s="38">
        <v>225</v>
      </c>
      <c r="AT41" s="26"/>
      <c r="AU41" s="49"/>
      <c r="AV41" s="136"/>
      <c r="AW41" s="137"/>
    </row>
    <row r="42" spans="1:49" ht="19.399999999999999" customHeight="1">
      <c r="A42" s="18" t="s">
        <v>134</v>
      </c>
      <c r="B42" s="18" t="s">
        <v>654</v>
      </c>
      <c r="C42" s="19" t="s">
        <v>175</v>
      </c>
      <c r="D42" s="19" t="s">
        <v>175</v>
      </c>
      <c r="E42" s="19" t="s">
        <v>663</v>
      </c>
      <c r="F42" s="58">
        <v>8</v>
      </c>
      <c r="G42" s="43">
        <v>24</v>
      </c>
      <c r="H42" s="44">
        <v>0.1</v>
      </c>
      <c r="I42" s="44" t="s">
        <v>38</v>
      </c>
      <c r="J42" s="43">
        <v>121</v>
      </c>
      <c r="K42" s="44">
        <v>38.299999999999997</v>
      </c>
      <c r="L42" s="44" t="s">
        <v>122</v>
      </c>
      <c r="M42" s="43" t="s">
        <v>123</v>
      </c>
      <c r="N42" s="45">
        <v>3</v>
      </c>
      <c r="O42" s="45">
        <v>4</v>
      </c>
      <c r="P42" s="45">
        <v>2</v>
      </c>
      <c r="Q42" s="45">
        <v>1</v>
      </c>
      <c r="R42" s="46">
        <v>3.92</v>
      </c>
      <c r="S42" s="46">
        <v>3.98</v>
      </c>
      <c r="T42" s="46">
        <v>217</v>
      </c>
      <c r="U42" s="47">
        <v>2849</v>
      </c>
      <c r="V42" s="23">
        <v>24</v>
      </c>
      <c r="W42" s="38">
        <v>0</v>
      </c>
      <c r="X42" s="38">
        <v>0</v>
      </c>
      <c r="Y42" s="38">
        <v>24</v>
      </c>
      <c r="Z42" s="38">
        <v>0</v>
      </c>
      <c r="AA42" s="44">
        <v>0</v>
      </c>
      <c r="AB42" s="44">
        <f t="shared" si="3"/>
        <v>0</v>
      </c>
      <c r="AC42" s="52" t="s">
        <v>119</v>
      </c>
      <c r="AD42" s="40">
        <v>171</v>
      </c>
      <c r="AE42" s="40"/>
      <c r="AF42" s="40">
        <v>0</v>
      </c>
      <c r="AG42" s="40">
        <v>0</v>
      </c>
      <c r="AH42" s="38">
        <v>0</v>
      </c>
      <c r="AI42" s="38">
        <v>0</v>
      </c>
      <c r="AJ42" s="38">
        <v>1.4</v>
      </c>
      <c r="AK42" s="38">
        <v>0</v>
      </c>
      <c r="AL42" s="24">
        <f t="shared" si="2"/>
        <v>1.4</v>
      </c>
      <c r="AM42" s="12"/>
      <c r="AN42" s="12"/>
      <c r="AO42" s="12"/>
      <c r="AP42" s="12"/>
      <c r="AQ42" s="55">
        <f t="shared" si="1"/>
        <v>143.40000000000009</v>
      </c>
      <c r="AR42" s="38"/>
      <c r="AS42" s="38">
        <v>221</v>
      </c>
      <c r="AT42" s="26"/>
      <c r="AU42" s="49"/>
      <c r="AV42" s="136"/>
      <c r="AW42" s="137"/>
    </row>
    <row r="43" spans="1:49" ht="19.399999999999999" customHeight="1">
      <c r="A43" s="18" t="s">
        <v>134</v>
      </c>
      <c r="B43" s="18" t="s">
        <v>654</v>
      </c>
      <c r="C43" s="19" t="s">
        <v>175</v>
      </c>
      <c r="D43" s="19" t="s">
        <v>175</v>
      </c>
      <c r="E43" s="19" t="s">
        <v>664</v>
      </c>
      <c r="F43" s="58">
        <v>8</v>
      </c>
      <c r="G43" s="43">
        <v>24</v>
      </c>
      <c r="H43" s="44">
        <v>0.1</v>
      </c>
      <c r="I43" s="44" t="s">
        <v>38</v>
      </c>
      <c r="J43" s="43">
        <v>121</v>
      </c>
      <c r="K43" s="44">
        <v>38.299999999999997</v>
      </c>
      <c r="L43" s="44" t="s">
        <v>122</v>
      </c>
      <c r="M43" s="43" t="s">
        <v>114</v>
      </c>
      <c r="N43" s="45">
        <v>3</v>
      </c>
      <c r="O43" s="45">
        <v>3</v>
      </c>
      <c r="P43" s="45">
        <v>2</v>
      </c>
      <c r="Q43" s="45">
        <v>1</v>
      </c>
      <c r="R43" s="46">
        <v>3.92</v>
      </c>
      <c r="S43" s="46">
        <v>3.98</v>
      </c>
      <c r="T43" s="46">
        <v>217</v>
      </c>
      <c r="U43" s="47">
        <v>2849</v>
      </c>
      <c r="V43" s="23">
        <v>24</v>
      </c>
      <c r="W43" s="38">
        <v>0</v>
      </c>
      <c r="X43" s="38">
        <v>0</v>
      </c>
      <c r="Y43" s="38">
        <v>24</v>
      </c>
      <c r="Z43" s="38">
        <v>0</v>
      </c>
      <c r="AA43" s="44">
        <v>0</v>
      </c>
      <c r="AB43" s="44">
        <f t="shared" si="3"/>
        <v>0</v>
      </c>
      <c r="AC43" s="52" t="s">
        <v>119</v>
      </c>
      <c r="AD43" s="40">
        <v>227</v>
      </c>
      <c r="AE43" s="40"/>
      <c r="AF43" s="40">
        <v>0</v>
      </c>
      <c r="AG43" s="40">
        <v>0</v>
      </c>
      <c r="AH43" s="38">
        <v>0</v>
      </c>
      <c r="AI43" s="38">
        <v>0</v>
      </c>
      <c r="AJ43" s="38">
        <v>1.3</v>
      </c>
      <c r="AK43" s="38">
        <v>0</v>
      </c>
      <c r="AL43" s="24">
        <f t="shared" si="2"/>
        <v>1.3</v>
      </c>
      <c r="AM43" s="12"/>
      <c r="AN43" s="12"/>
      <c r="AO43" s="12"/>
      <c r="AP43" s="12"/>
      <c r="AQ43" s="55">
        <f t="shared" si="1"/>
        <v>142.10000000000008</v>
      </c>
      <c r="AR43" s="38"/>
      <c r="AS43" s="38">
        <v>214</v>
      </c>
      <c r="AT43" s="26"/>
      <c r="AU43" s="49"/>
      <c r="AV43" s="136"/>
      <c r="AW43" s="137"/>
    </row>
    <row r="44" spans="1:49" ht="19.399999999999999" customHeight="1">
      <c r="A44" s="18" t="s">
        <v>134</v>
      </c>
      <c r="B44" s="18" t="s">
        <v>666</v>
      </c>
      <c r="C44" s="19" t="s">
        <v>175</v>
      </c>
      <c r="D44" s="19" t="s">
        <v>175</v>
      </c>
      <c r="E44" s="19" t="s">
        <v>667</v>
      </c>
      <c r="F44" s="58">
        <v>8</v>
      </c>
      <c r="G44" s="43">
        <v>24</v>
      </c>
      <c r="H44" s="44">
        <v>6.2</v>
      </c>
      <c r="I44" s="44" t="s">
        <v>38</v>
      </c>
      <c r="J44" s="43">
        <v>121</v>
      </c>
      <c r="K44" s="44">
        <v>47.8</v>
      </c>
      <c r="L44" s="44" t="s">
        <v>122</v>
      </c>
      <c r="M44" s="43" t="s">
        <v>96</v>
      </c>
      <c r="N44" s="45">
        <v>2</v>
      </c>
      <c r="O44" s="45">
        <v>3</v>
      </c>
      <c r="P44" s="45">
        <v>3</v>
      </c>
      <c r="Q44" s="45">
        <v>1</v>
      </c>
      <c r="R44" s="46">
        <v>3.8</v>
      </c>
      <c r="S44" s="46">
        <v>3.9</v>
      </c>
      <c r="T44" s="46">
        <v>217</v>
      </c>
      <c r="U44" s="47">
        <v>2849</v>
      </c>
      <c r="V44" s="23">
        <v>24</v>
      </c>
      <c r="W44" s="38">
        <v>0.36</v>
      </c>
      <c r="X44" s="38">
        <v>1.64</v>
      </c>
      <c r="Y44" s="38">
        <v>22</v>
      </c>
      <c r="Z44" s="38">
        <v>0</v>
      </c>
      <c r="AA44" s="44">
        <v>14.7</v>
      </c>
      <c r="AB44" s="44">
        <f t="shared" ref="AB44" si="4">AA44/24</f>
        <v>0.61249999999999993</v>
      </c>
      <c r="AC44" s="52" t="s">
        <v>130</v>
      </c>
      <c r="AD44" s="40" t="s">
        <v>665</v>
      </c>
      <c r="AE44" s="40"/>
      <c r="AF44" s="40" t="s">
        <v>137</v>
      </c>
      <c r="AG44" s="40" t="s">
        <v>188</v>
      </c>
      <c r="AH44" s="38">
        <v>0.1</v>
      </c>
      <c r="AI44" s="38">
        <v>0</v>
      </c>
      <c r="AJ44" s="38">
        <v>1</v>
      </c>
      <c r="AK44" s="38">
        <v>0</v>
      </c>
      <c r="AL44" s="24">
        <f t="shared" si="2"/>
        <v>1.1000000000000001</v>
      </c>
      <c r="AM44" s="12"/>
      <c r="AN44" s="12"/>
      <c r="AO44" s="12"/>
      <c r="AP44" s="12"/>
      <c r="AQ44" s="55">
        <f t="shared" si="1"/>
        <v>141.00000000000009</v>
      </c>
      <c r="AR44" s="38"/>
      <c r="AS44" s="38">
        <v>208</v>
      </c>
      <c r="AT44" s="26"/>
      <c r="AU44" s="49"/>
      <c r="AV44" s="136"/>
      <c r="AW44" s="137"/>
    </row>
    <row r="45" spans="1:49" ht="19.399999999999999" customHeight="1">
      <c r="A45" s="18" t="s">
        <v>134</v>
      </c>
      <c r="B45" s="18" t="s">
        <v>666</v>
      </c>
      <c r="C45" s="19" t="s">
        <v>175</v>
      </c>
      <c r="D45" s="19" t="s">
        <v>175</v>
      </c>
      <c r="E45" s="19" t="s">
        <v>670</v>
      </c>
      <c r="F45" s="58">
        <v>8</v>
      </c>
      <c r="G45" s="43">
        <v>24</v>
      </c>
      <c r="H45" s="44">
        <v>55</v>
      </c>
      <c r="I45" s="44" t="s">
        <v>38</v>
      </c>
      <c r="J45" s="43">
        <v>122</v>
      </c>
      <c r="K45" s="44">
        <v>17.3</v>
      </c>
      <c r="L45" s="44" t="s">
        <v>122</v>
      </c>
      <c r="M45" s="43" t="s">
        <v>114</v>
      </c>
      <c r="N45" s="45">
        <v>2</v>
      </c>
      <c r="O45" s="45">
        <v>6</v>
      </c>
      <c r="P45" s="45">
        <v>5</v>
      </c>
      <c r="Q45" s="45">
        <v>4</v>
      </c>
      <c r="R45" s="46">
        <v>3.8</v>
      </c>
      <c r="S45" s="46">
        <v>3.9</v>
      </c>
      <c r="T45" s="46">
        <v>261</v>
      </c>
      <c r="U45" s="47">
        <v>2804.5</v>
      </c>
      <c r="V45" s="23">
        <v>24</v>
      </c>
      <c r="W45" s="38">
        <v>0</v>
      </c>
      <c r="X45" s="38">
        <v>24</v>
      </c>
      <c r="Y45" s="38">
        <v>0</v>
      </c>
      <c r="Z45" s="38">
        <v>0</v>
      </c>
      <c r="AA45" s="44">
        <v>104.3</v>
      </c>
      <c r="AB45" s="44">
        <f t="shared" ref="AB45:AB53" si="5">AA45/24</f>
        <v>4.3458333333333332</v>
      </c>
      <c r="AC45" s="52" t="s">
        <v>130</v>
      </c>
      <c r="AD45" s="40" t="s">
        <v>668</v>
      </c>
      <c r="AE45" s="40"/>
      <c r="AF45" s="40" t="s">
        <v>669</v>
      </c>
      <c r="AG45" s="40" t="s">
        <v>202</v>
      </c>
      <c r="AH45" s="38">
        <v>3.3</v>
      </c>
      <c r="AI45" s="38">
        <v>0</v>
      </c>
      <c r="AJ45" s="38">
        <v>0</v>
      </c>
      <c r="AK45" s="38">
        <v>0</v>
      </c>
      <c r="AL45" s="24">
        <f t="shared" si="2"/>
        <v>3.3</v>
      </c>
      <c r="AM45" s="12"/>
      <c r="AN45" s="12"/>
      <c r="AO45" s="12"/>
      <c r="AP45" s="12"/>
      <c r="AQ45" s="55">
        <f t="shared" si="1"/>
        <v>137.70000000000007</v>
      </c>
      <c r="AR45" s="38"/>
      <c r="AS45" s="38">
        <v>198</v>
      </c>
      <c r="AT45" s="26"/>
      <c r="AU45" s="49"/>
      <c r="AV45" s="136"/>
      <c r="AW45" s="137"/>
    </row>
    <row r="46" spans="1:49" ht="19.399999999999999" customHeight="1">
      <c r="A46" s="18" t="s">
        <v>134</v>
      </c>
      <c r="B46" s="18" t="s">
        <v>666</v>
      </c>
      <c r="C46" s="19" t="s">
        <v>175</v>
      </c>
      <c r="D46" s="19" t="s">
        <v>175</v>
      </c>
      <c r="E46" s="19" t="s">
        <v>674</v>
      </c>
      <c r="F46" s="58">
        <v>8</v>
      </c>
      <c r="G46" s="43">
        <v>23</v>
      </c>
      <c r="H46" s="44">
        <v>9.4</v>
      </c>
      <c r="I46" s="44" t="s">
        <v>38</v>
      </c>
      <c r="J46" s="43">
        <v>121</v>
      </c>
      <c r="K46" s="44">
        <v>27.2</v>
      </c>
      <c r="L46" s="44" t="s">
        <v>122</v>
      </c>
      <c r="M46" s="43" t="s">
        <v>114</v>
      </c>
      <c r="N46" s="45">
        <v>2</v>
      </c>
      <c r="O46" s="45">
        <v>5</v>
      </c>
      <c r="P46" s="45">
        <v>4</v>
      </c>
      <c r="Q46" s="45">
        <v>3</v>
      </c>
      <c r="R46" s="46">
        <v>3.8</v>
      </c>
      <c r="S46" s="46">
        <v>3.9</v>
      </c>
      <c r="T46" s="46">
        <v>261</v>
      </c>
      <c r="U46" s="47">
        <v>2804.5</v>
      </c>
      <c r="V46" s="23">
        <v>24</v>
      </c>
      <c r="W46" s="38">
        <v>0</v>
      </c>
      <c r="X46" s="38">
        <v>24</v>
      </c>
      <c r="Y46" s="38">
        <v>0</v>
      </c>
      <c r="Z46" s="38">
        <v>0</v>
      </c>
      <c r="AA46" s="44">
        <v>117.2</v>
      </c>
      <c r="AB46" s="44">
        <f t="shared" si="5"/>
        <v>4.8833333333333337</v>
      </c>
      <c r="AC46" s="52" t="s">
        <v>130</v>
      </c>
      <c r="AD46" s="41" t="s">
        <v>671</v>
      </c>
      <c r="AE46" s="40"/>
      <c r="AF46" s="40" t="s">
        <v>672</v>
      </c>
      <c r="AG46" s="40" t="s">
        <v>673</v>
      </c>
      <c r="AH46" s="38">
        <v>4</v>
      </c>
      <c r="AI46" s="38">
        <v>0</v>
      </c>
      <c r="AJ46" s="38">
        <v>0</v>
      </c>
      <c r="AK46" s="38">
        <v>0</v>
      </c>
      <c r="AL46" s="24">
        <f t="shared" si="2"/>
        <v>4</v>
      </c>
      <c r="AM46" s="12"/>
      <c r="AN46" s="12"/>
      <c r="AO46" s="12"/>
      <c r="AP46" s="12"/>
      <c r="AQ46" s="55">
        <f t="shared" si="1"/>
        <v>133.70000000000007</v>
      </c>
      <c r="AR46" s="38"/>
      <c r="AS46" s="38">
        <v>192</v>
      </c>
      <c r="AT46" s="26"/>
      <c r="AU46" s="49"/>
      <c r="AV46" s="136"/>
      <c r="AW46" s="137"/>
    </row>
    <row r="47" spans="1:49" ht="19.399999999999999" customHeight="1">
      <c r="A47" s="18" t="s">
        <v>134</v>
      </c>
      <c r="B47" s="18" t="s">
        <v>666</v>
      </c>
      <c r="C47" s="19" t="s">
        <v>175</v>
      </c>
      <c r="D47" s="19" t="s">
        <v>175</v>
      </c>
      <c r="E47" s="19" t="s">
        <v>677</v>
      </c>
      <c r="F47" s="58">
        <v>8</v>
      </c>
      <c r="G47" s="43">
        <v>23</v>
      </c>
      <c r="H47" s="44">
        <v>13.2</v>
      </c>
      <c r="I47" s="44" t="s">
        <v>38</v>
      </c>
      <c r="J47" s="43">
        <v>121</v>
      </c>
      <c r="K47" s="44">
        <v>55.3</v>
      </c>
      <c r="L47" s="44" t="s">
        <v>122</v>
      </c>
      <c r="M47" s="43" t="s">
        <v>114</v>
      </c>
      <c r="N47" s="45">
        <v>2</v>
      </c>
      <c r="O47" s="45">
        <v>6</v>
      </c>
      <c r="P47" s="45">
        <v>4</v>
      </c>
      <c r="Q47" s="45">
        <v>2</v>
      </c>
      <c r="R47" s="46">
        <v>3.8</v>
      </c>
      <c r="S47" s="46">
        <v>3.9</v>
      </c>
      <c r="T47" s="46">
        <v>261</v>
      </c>
      <c r="U47" s="47">
        <v>2804.5</v>
      </c>
      <c r="V47" s="23">
        <v>24</v>
      </c>
      <c r="W47" s="38">
        <v>0</v>
      </c>
      <c r="X47" s="38">
        <v>24</v>
      </c>
      <c r="Y47" s="38">
        <v>0</v>
      </c>
      <c r="Z47" s="38">
        <v>0</v>
      </c>
      <c r="AA47" s="44">
        <v>70.3</v>
      </c>
      <c r="AB47" s="44">
        <f t="shared" si="5"/>
        <v>2.9291666666666667</v>
      </c>
      <c r="AC47" s="52" t="s">
        <v>130</v>
      </c>
      <c r="AD47" s="41" t="s">
        <v>675</v>
      </c>
      <c r="AE47" s="40"/>
      <c r="AF47" s="41" t="s">
        <v>676</v>
      </c>
      <c r="AG47" s="40" t="s">
        <v>318</v>
      </c>
      <c r="AH47" s="38">
        <v>3</v>
      </c>
      <c r="AI47" s="38">
        <v>0</v>
      </c>
      <c r="AJ47" s="38">
        <v>0</v>
      </c>
      <c r="AK47" s="38">
        <v>0</v>
      </c>
      <c r="AL47" s="24">
        <f t="shared" si="2"/>
        <v>3</v>
      </c>
      <c r="AM47" s="12"/>
      <c r="AN47" s="12"/>
      <c r="AO47" s="12"/>
      <c r="AP47" s="12"/>
      <c r="AQ47" s="55">
        <f t="shared" si="1"/>
        <v>130.70000000000007</v>
      </c>
      <c r="AR47" s="38"/>
      <c r="AS47" s="38">
        <v>185</v>
      </c>
      <c r="AT47" s="26"/>
      <c r="AU47" s="49"/>
      <c r="AV47" s="136"/>
      <c r="AW47" s="137"/>
    </row>
    <row r="48" spans="1:49" ht="19.399999999999999" customHeight="1">
      <c r="A48" s="18" t="s">
        <v>134</v>
      </c>
      <c r="B48" s="18" t="s">
        <v>666</v>
      </c>
      <c r="C48" s="19" t="s">
        <v>175</v>
      </c>
      <c r="D48" s="19" t="s">
        <v>175</v>
      </c>
      <c r="E48" s="19" t="s">
        <v>681</v>
      </c>
      <c r="F48" s="58">
        <v>8</v>
      </c>
      <c r="G48" s="43">
        <v>24</v>
      </c>
      <c r="H48" s="44">
        <v>0.1</v>
      </c>
      <c r="I48" s="44" t="s">
        <v>38</v>
      </c>
      <c r="J48" s="43">
        <v>121</v>
      </c>
      <c r="K48" s="44">
        <v>38.299999999999997</v>
      </c>
      <c r="L48" s="44" t="s">
        <v>122</v>
      </c>
      <c r="M48" s="43" t="s">
        <v>114</v>
      </c>
      <c r="N48" s="45">
        <v>0</v>
      </c>
      <c r="O48" s="45">
        <v>6</v>
      </c>
      <c r="P48" s="45">
        <v>3</v>
      </c>
      <c r="Q48" s="45">
        <v>2</v>
      </c>
      <c r="R48" s="46">
        <v>3.8</v>
      </c>
      <c r="S48" s="46">
        <v>4.2</v>
      </c>
      <c r="T48" s="46">
        <v>261</v>
      </c>
      <c r="U48" s="47">
        <v>2804.5</v>
      </c>
      <c r="V48" s="23">
        <v>24</v>
      </c>
      <c r="W48" s="38">
        <v>1.1000000000000001</v>
      </c>
      <c r="X48" s="38">
        <v>22.5</v>
      </c>
      <c r="Y48" s="38">
        <v>0.4</v>
      </c>
      <c r="Z48" s="38">
        <v>0</v>
      </c>
      <c r="AA48" s="44">
        <v>58.3</v>
      </c>
      <c r="AB48" s="44">
        <f t="shared" si="5"/>
        <v>2.4291666666666667</v>
      </c>
      <c r="AC48" s="52" t="s">
        <v>130</v>
      </c>
      <c r="AD48" s="40" t="s">
        <v>678</v>
      </c>
      <c r="AE48" s="40"/>
      <c r="AF48" s="41" t="s">
        <v>679</v>
      </c>
      <c r="AG48" s="40" t="s">
        <v>680</v>
      </c>
      <c r="AH48" s="38">
        <v>2.9</v>
      </c>
      <c r="AI48" s="38">
        <v>0</v>
      </c>
      <c r="AJ48" s="38">
        <v>0</v>
      </c>
      <c r="AK48" s="38">
        <v>0</v>
      </c>
      <c r="AL48" s="24">
        <f t="shared" si="2"/>
        <v>2.9</v>
      </c>
      <c r="AM48" s="12"/>
      <c r="AN48" s="12"/>
      <c r="AO48" s="12"/>
      <c r="AP48" s="12"/>
      <c r="AQ48" s="55">
        <f t="shared" si="1"/>
        <v>127.80000000000007</v>
      </c>
      <c r="AR48" s="38"/>
      <c r="AS48" s="38">
        <v>178</v>
      </c>
      <c r="AT48" s="26"/>
      <c r="AU48" s="49"/>
      <c r="AV48" s="136"/>
      <c r="AW48" s="137"/>
    </row>
    <row r="49" spans="1:49" ht="19.399999999999999" customHeight="1">
      <c r="A49" s="18" t="s">
        <v>134</v>
      </c>
      <c r="B49" s="18" t="s">
        <v>666</v>
      </c>
      <c r="C49" s="19" t="s">
        <v>175</v>
      </c>
      <c r="D49" s="19" t="s">
        <v>175</v>
      </c>
      <c r="E49" s="19" t="s">
        <v>685</v>
      </c>
      <c r="F49" s="58">
        <v>8</v>
      </c>
      <c r="G49" s="43">
        <v>23</v>
      </c>
      <c r="H49" s="44">
        <v>58.7</v>
      </c>
      <c r="I49" s="44" t="s">
        <v>38</v>
      </c>
      <c r="J49" s="43">
        <v>121</v>
      </c>
      <c r="K49" s="44">
        <v>53.6</v>
      </c>
      <c r="L49" s="44" t="s">
        <v>122</v>
      </c>
      <c r="M49" s="43" t="s">
        <v>96</v>
      </c>
      <c r="N49" s="45">
        <v>2</v>
      </c>
      <c r="O49" s="45">
        <v>4</v>
      </c>
      <c r="P49" s="45">
        <v>3</v>
      </c>
      <c r="Q49" s="45">
        <v>2</v>
      </c>
      <c r="R49" s="46">
        <v>3.8</v>
      </c>
      <c r="S49" s="46">
        <v>4.2</v>
      </c>
      <c r="T49" s="46">
        <v>261</v>
      </c>
      <c r="U49" s="47">
        <v>2804.5</v>
      </c>
      <c r="V49" s="23">
        <v>24</v>
      </c>
      <c r="W49" s="38">
        <v>0.7</v>
      </c>
      <c r="X49" s="38">
        <v>2.2999999999999998</v>
      </c>
      <c r="Y49" s="38">
        <v>21</v>
      </c>
      <c r="Z49" s="38">
        <v>0</v>
      </c>
      <c r="AA49" s="44">
        <v>75.8</v>
      </c>
      <c r="AB49" s="44">
        <f t="shared" si="5"/>
        <v>3.1583333333333332</v>
      </c>
      <c r="AC49" s="52" t="s">
        <v>130</v>
      </c>
      <c r="AD49" s="40" t="s">
        <v>682</v>
      </c>
      <c r="AE49" s="40"/>
      <c r="AF49" s="41" t="s">
        <v>684</v>
      </c>
      <c r="AG49" s="40" t="s">
        <v>683</v>
      </c>
      <c r="AH49" s="38">
        <v>0.2</v>
      </c>
      <c r="AI49" s="38">
        <v>0</v>
      </c>
      <c r="AJ49" s="38">
        <v>0.8</v>
      </c>
      <c r="AK49" s="38">
        <v>0</v>
      </c>
      <c r="AL49" s="24">
        <f t="shared" si="2"/>
        <v>1</v>
      </c>
      <c r="AM49" s="12"/>
      <c r="AN49" s="12"/>
      <c r="AO49" s="12"/>
      <c r="AP49" s="12"/>
      <c r="AQ49" s="55">
        <f t="shared" si="1"/>
        <v>126.80000000000007</v>
      </c>
      <c r="AR49" s="38"/>
      <c r="AS49" s="38">
        <v>171</v>
      </c>
      <c r="AT49" s="26"/>
      <c r="AU49" s="49"/>
      <c r="AV49" s="136"/>
      <c r="AW49" s="137"/>
    </row>
    <row r="50" spans="1:49" ht="19.399999999999999" customHeight="1">
      <c r="A50" s="18" t="s">
        <v>134</v>
      </c>
      <c r="B50" s="18" t="s">
        <v>666</v>
      </c>
      <c r="C50" s="19" t="s">
        <v>175</v>
      </c>
      <c r="D50" s="19" t="s">
        <v>175</v>
      </c>
      <c r="E50" s="19" t="s">
        <v>688</v>
      </c>
      <c r="F50" s="58">
        <v>8</v>
      </c>
      <c r="G50" s="43">
        <v>24</v>
      </c>
      <c r="H50" s="44">
        <v>0</v>
      </c>
      <c r="I50" s="44" t="s">
        <v>38</v>
      </c>
      <c r="J50" s="43">
        <v>122</v>
      </c>
      <c r="K50" s="44">
        <v>6.4</v>
      </c>
      <c r="L50" s="44" t="s">
        <v>122</v>
      </c>
      <c r="M50" s="43" t="s">
        <v>114</v>
      </c>
      <c r="N50" s="45">
        <v>2</v>
      </c>
      <c r="O50" s="45">
        <v>6</v>
      </c>
      <c r="P50" s="45">
        <v>4</v>
      </c>
      <c r="Q50" s="45">
        <v>2</v>
      </c>
      <c r="R50" s="46">
        <v>3.8</v>
      </c>
      <c r="S50" s="46">
        <v>4.2</v>
      </c>
      <c r="T50" s="46">
        <v>261</v>
      </c>
      <c r="U50" s="47">
        <v>2804.5</v>
      </c>
      <c r="V50" s="23">
        <v>24</v>
      </c>
      <c r="W50" s="38">
        <v>0</v>
      </c>
      <c r="X50" s="38">
        <v>24</v>
      </c>
      <c r="Y50" s="38">
        <v>0</v>
      </c>
      <c r="Z50" s="38">
        <v>0</v>
      </c>
      <c r="AA50" s="44">
        <v>48.8</v>
      </c>
      <c r="AB50" s="44">
        <f t="shared" si="5"/>
        <v>2.0333333333333332</v>
      </c>
      <c r="AC50" s="52" t="s">
        <v>131</v>
      </c>
      <c r="AD50" s="40" t="s">
        <v>686</v>
      </c>
      <c r="AE50" s="40"/>
      <c r="AF50" s="41" t="s">
        <v>687</v>
      </c>
      <c r="AG50" s="40" t="s">
        <v>680</v>
      </c>
      <c r="AH50" s="38">
        <v>2.8</v>
      </c>
      <c r="AI50" s="38">
        <v>0</v>
      </c>
      <c r="AJ50" s="38">
        <v>0</v>
      </c>
      <c r="AK50" s="38">
        <v>0</v>
      </c>
      <c r="AL50" s="24">
        <f t="shared" si="2"/>
        <v>2.8</v>
      </c>
      <c r="AM50" s="12"/>
      <c r="AN50" s="12"/>
      <c r="AO50" s="12"/>
      <c r="AP50" s="12"/>
      <c r="AQ50" s="55">
        <f t="shared" si="1"/>
        <v>124.00000000000007</v>
      </c>
      <c r="AR50" s="38"/>
      <c r="AS50" s="38">
        <v>164</v>
      </c>
      <c r="AT50" s="26"/>
      <c r="AU50" s="49"/>
      <c r="AV50" s="136"/>
      <c r="AW50" s="137"/>
    </row>
    <row r="51" spans="1:49" ht="19.399999999999999" customHeight="1">
      <c r="A51" s="18" t="s">
        <v>134</v>
      </c>
      <c r="B51" s="18" t="s">
        <v>666</v>
      </c>
      <c r="C51" s="19" t="s">
        <v>175</v>
      </c>
      <c r="D51" s="19" t="s">
        <v>175</v>
      </c>
      <c r="E51" s="19" t="s">
        <v>689</v>
      </c>
      <c r="F51" s="58">
        <v>8</v>
      </c>
      <c r="G51" s="43">
        <v>24</v>
      </c>
      <c r="H51" s="44">
        <v>0.1</v>
      </c>
      <c r="I51" s="44" t="s">
        <v>38</v>
      </c>
      <c r="J51" s="43">
        <v>121</v>
      </c>
      <c r="K51" s="44">
        <v>38.299999999999997</v>
      </c>
      <c r="L51" s="44" t="s">
        <v>122</v>
      </c>
      <c r="M51" s="43" t="s">
        <v>96</v>
      </c>
      <c r="N51" s="45">
        <v>0</v>
      </c>
      <c r="O51" s="45">
        <v>4</v>
      </c>
      <c r="P51" s="45">
        <v>3</v>
      </c>
      <c r="Q51" s="45">
        <v>1</v>
      </c>
      <c r="R51" s="46">
        <v>3.6</v>
      </c>
      <c r="S51" s="46">
        <v>4</v>
      </c>
      <c r="T51" s="46">
        <v>261</v>
      </c>
      <c r="U51" s="47">
        <v>2804.5</v>
      </c>
      <c r="V51" s="23">
        <v>24</v>
      </c>
      <c r="W51" s="38">
        <v>0.9</v>
      </c>
      <c r="X51" s="38">
        <v>20.6</v>
      </c>
      <c r="Y51" s="38">
        <v>2.5</v>
      </c>
      <c r="Z51" s="38">
        <v>0</v>
      </c>
      <c r="AA51" s="44">
        <v>59.8</v>
      </c>
      <c r="AB51" s="44">
        <f t="shared" si="5"/>
        <v>2.4916666666666667</v>
      </c>
      <c r="AC51" s="52" t="s">
        <v>113</v>
      </c>
      <c r="AD51" s="40">
        <v>240</v>
      </c>
      <c r="AE51" s="40"/>
      <c r="AF51" s="41">
        <v>0</v>
      </c>
      <c r="AG51" s="40">
        <v>0</v>
      </c>
      <c r="AH51" s="38">
        <v>2.2999999999999998</v>
      </c>
      <c r="AI51" s="38">
        <v>0</v>
      </c>
      <c r="AJ51" s="38">
        <v>0.1</v>
      </c>
      <c r="AK51" s="38">
        <v>0</v>
      </c>
      <c r="AL51" s="24">
        <f t="shared" si="2"/>
        <v>2.4</v>
      </c>
      <c r="AM51" s="12"/>
      <c r="AN51" s="12"/>
      <c r="AO51" s="12"/>
      <c r="AP51" s="12"/>
      <c r="AQ51" s="55">
        <f t="shared" si="1"/>
        <v>121.60000000000007</v>
      </c>
      <c r="AR51" s="38"/>
      <c r="AS51" s="38">
        <v>157</v>
      </c>
      <c r="AT51" s="26"/>
      <c r="AU51" s="49"/>
      <c r="AV51" s="143"/>
      <c r="AW51" s="144"/>
    </row>
    <row r="52" spans="1:49" ht="19.399999999999999" customHeight="1">
      <c r="A52" s="18" t="s">
        <v>134</v>
      </c>
      <c r="B52" s="18" t="s">
        <v>666</v>
      </c>
      <c r="C52" s="19" t="s">
        <v>175</v>
      </c>
      <c r="D52" s="19" t="s">
        <v>175</v>
      </c>
      <c r="E52" s="19" t="s">
        <v>690</v>
      </c>
      <c r="F52" s="58">
        <v>8</v>
      </c>
      <c r="G52" s="43">
        <v>24</v>
      </c>
      <c r="H52" s="44">
        <v>0.1</v>
      </c>
      <c r="I52" s="44" t="s">
        <v>38</v>
      </c>
      <c r="J52" s="43">
        <v>121</v>
      </c>
      <c r="K52" s="44">
        <v>38.299999999999997</v>
      </c>
      <c r="L52" s="44" t="s">
        <v>122</v>
      </c>
      <c r="M52" s="43" t="s">
        <v>96</v>
      </c>
      <c r="N52" s="45">
        <v>0</v>
      </c>
      <c r="O52" s="45">
        <v>2</v>
      </c>
      <c r="P52" s="45">
        <v>2</v>
      </c>
      <c r="Q52" s="45">
        <v>1</v>
      </c>
      <c r="R52" s="46">
        <v>3.6</v>
      </c>
      <c r="S52" s="46">
        <v>4</v>
      </c>
      <c r="T52" s="46">
        <v>261</v>
      </c>
      <c r="U52" s="47">
        <v>2804.5</v>
      </c>
      <c r="V52" s="23">
        <v>24</v>
      </c>
      <c r="W52" s="38">
        <v>0</v>
      </c>
      <c r="X52" s="38">
        <v>0</v>
      </c>
      <c r="Y52" s="38">
        <v>24</v>
      </c>
      <c r="Z52" s="38">
        <v>0</v>
      </c>
      <c r="AA52" s="44">
        <v>0</v>
      </c>
      <c r="AB52" s="44">
        <f t="shared" si="5"/>
        <v>0</v>
      </c>
      <c r="AC52" s="52" t="s">
        <v>113</v>
      </c>
      <c r="AD52" s="60">
        <v>231</v>
      </c>
      <c r="AE52" s="40"/>
      <c r="AF52" s="41">
        <v>0</v>
      </c>
      <c r="AG52" s="40">
        <v>0</v>
      </c>
      <c r="AH52" s="38">
        <v>0</v>
      </c>
      <c r="AI52" s="38">
        <v>0</v>
      </c>
      <c r="AJ52" s="38">
        <v>1.3</v>
      </c>
      <c r="AK52" s="38">
        <v>0</v>
      </c>
      <c r="AL52" s="24">
        <f t="shared" si="2"/>
        <v>1.3</v>
      </c>
      <c r="AM52" s="12"/>
      <c r="AN52" s="12"/>
      <c r="AO52" s="12"/>
      <c r="AP52" s="12"/>
      <c r="AQ52" s="55">
        <f t="shared" si="1"/>
        <v>120.30000000000007</v>
      </c>
      <c r="AR52" s="38"/>
      <c r="AS52" s="38">
        <v>209</v>
      </c>
      <c r="AT52" s="26"/>
      <c r="AU52" s="49"/>
      <c r="AV52" s="142"/>
      <c r="AW52" s="137"/>
    </row>
    <row r="53" spans="1:49" ht="19.399999999999999" customHeight="1">
      <c r="A53" s="18" t="s">
        <v>134</v>
      </c>
      <c r="B53" s="18" t="s">
        <v>666</v>
      </c>
      <c r="C53" s="19" t="s">
        <v>175</v>
      </c>
      <c r="D53" s="19" t="s">
        <v>175</v>
      </c>
      <c r="E53" s="19" t="s">
        <v>691</v>
      </c>
      <c r="F53" s="58">
        <v>8</v>
      </c>
      <c r="G53" s="43">
        <v>24</v>
      </c>
      <c r="H53" s="44">
        <v>0.1</v>
      </c>
      <c r="I53" s="44" t="s">
        <v>38</v>
      </c>
      <c r="J53" s="43">
        <v>121</v>
      </c>
      <c r="K53" s="44">
        <v>38.299999999999997</v>
      </c>
      <c r="L53" s="44" t="s">
        <v>122</v>
      </c>
      <c r="M53" s="43" t="s">
        <v>96</v>
      </c>
      <c r="N53" s="45">
        <v>0</v>
      </c>
      <c r="O53" s="45">
        <v>3</v>
      </c>
      <c r="P53" s="45">
        <v>2</v>
      </c>
      <c r="Q53" s="45">
        <v>1</v>
      </c>
      <c r="R53" s="46">
        <v>3.6</v>
      </c>
      <c r="S53" s="46">
        <v>4</v>
      </c>
      <c r="T53" s="46">
        <v>261</v>
      </c>
      <c r="U53" s="47">
        <v>2804.5</v>
      </c>
      <c r="V53" s="23">
        <v>24</v>
      </c>
      <c r="W53" s="38">
        <v>0</v>
      </c>
      <c r="X53" s="38">
        <v>0</v>
      </c>
      <c r="Y53" s="38">
        <v>24</v>
      </c>
      <c r="Z53" s="38">
        <v>0</v>
      </c>
      <c r="AA53" s="44">
        <v>0</v>
      </c>
      <c r="AB53" s="44">
        <f t="shared" si="5"/>
        <v>0</v>
      </c>
      <c r="AC53" s="52" t="s">
        <v>113</v>
      </c>
      <c r="AD53" s="59">
        <v>229</v>
      </c>
      <c r="AE53" s="40"/>
      <c r="AF53" s="41">
        <v>0</v>
      </c>
      <c r="AG53" s="40">
        <v>0</v>
      </c>
      <c r="AH53" s="38">
        <v>0</v>
      </c>
      <c r="AI53" s="38">
        <v>0</v>
      </c>
      <c r="AJ53" s="38">
        <v>1.8</v>
      </c>
      <c r="AK53" s="38">
        <v>0</v>
      </c>
      <c r="AL53" s="24">
        <f t="shared" si="2"/>
        <v>1.8</v>
      </c>
      <c r="AM53" s="12"/>
      <c r="AN53" s="12"/>
      <c r="AO53" s="12"/>
      <c r="AP53" s="12"/>
      <c r="AQ53" s="55">
        <f t="shared" si="1"/>
        <v>118.50000000000007</v>
      </c>
      <c r="AR53" s="38"/>
      <c r="AS53" s="38">
        <v>204</v>
      </c>
      <c r="AT53" s="26"/>
      <c r="AU53" s="49"/>
      <c r="AV53" s="142"/>
      <c r="AW53" s="137"/>
    </row>
    <row r="54" spans="1:49" ht="19.399999999999999" customHeight="1">
      <c r="A54" s="18" t="s">
        <v>134</v>
      </c>
      <c r="B54" s="18" t="s">
        <v>666</v>
      </c>
      <c r="C54" s="19" t="s">
        <v>175</v>
      </c>
      <c r="D54" s="19" t="s">
        <v>175</v>
      </c>
      <c r="E54" s="19" t="s">
        <v>692</v>
      </c>
      <c r="F54" s="58">
        <v>8</v>
      </c>
      <c r="G54" s="43">
        <v>24</v>
      </c>
      <c r="H54" s="44">
        <v>0.1</v>
      </c>
      <c r="I54" s="44" t="s">
        <v>38</v>
      </c>
      <c r="J54" s="43">
        <v>121</v>
      </c>
      <c r="K54" s="44">
        <v>38.299999999999997</v>
      </c>
      <c r="L54" s="44" t="s">
        <v>122</v>
      </c>
      <c r="M54" s="43" t="s">
        <v>96</v>
      </c>
      <c r="N54" s="45">
        <v>2</v>
      </c>
      <c r="O54" s="45">
        <v>3</v>
      </c>
      <c r="P54" s="45">
        <v>2</v>
      </c>
      <c r="Q54" s="45">
        <v>1</v>
      </c>
      <c r="R54" s="46">
        <v>3.6</v>
      </c>
      <c r="S54" s="46">
        <v>4</v>
      </c>
      <c r="T54" s="46">
        <v>261</v>
      </c>
      <c r="U54" s="47">
        <v>2804.5</v>
      </c>
      <c r="V54" s="23">
        <v>24</v>
      </c>
      <c r="W54" s="38">
        <v>0</v>
      </c>
      <c r="X54" s="38">
        <v>0</v>
      </c>
      <c r="Y54" s="38">
        <v>24</v>
      </c>
      <c r="Z54" s="38">
        <v>0</v>
      </c>
      <c r="AA54" s="44">
        <v>0</v>
      </c>
      <c r="AB54" s="44">
        <f t="shared" ref="AB54:AB55" si="6">AA54/24</f>
        <v>0</v>
      </c>
      <c r="AC54" s="52" t="s">
        <v>113</v>
      </c>
      <c r="AD54" s="40">
        <v>180</v>
      </c>
      <c r="AE54" s="40"/>
      <c r="AF54" s="41">
        <v>0</v>
      </c>
      <c r="AG54" s="40">
        <v>0</v>
      </c>
      <c r="AH54" s="38">
        <v>0</v>
      </c>
      <c r="AI54" s="38">
        <v>0</v>
      </c>
      <c r="AJ54" s="38">
        <v>1</v>
      </c>
      <c r="AK54" s="38">
        <v>0</v>
      </c>
      <c r="AL54" s="24">
        <f t="shared" si="2"/>
        <v>1</v>
      </c>
      <c r="AM54" s="12"/>
      <c r="AN54" s="12"/>
      <c r="AO54" s="12"/>
      <c r="AP54" s="12"/>
      <c r="AQ54" s="55">
        <f t="shared" si="1"/>
        <v>117.50000000000007</v>
      </c>
      <c r="AR54" s="38"/>
      <c r="AS54" s="38">
        <v>201</v>
      </c>
      <c r="AT54" s="26"/>
      <c r="AU54" s="49"/>
      <c r="AV54" s="136"/>
      <c r="AW54" s="137"/>
    </row>
    <row r="55" spans="1:49" ht="19.399999999999999" customHeight="1">
      <c r="A55" s="18" t="s">
        <v>134</v>
      </c>
      <c r="B55" s="18" t="s">
        <v>666</v>
      </c>
      <c r="C55" s="19" t="s">
        <v>175</v>
      </c>
      <c r="D55" s="19" t="s">
        <v>175</v>
      </c>
      <c r="E55" s="19" t="s">
        <v>695</v>
      </c>
      <c r="F55" s="58">
        <v>8</v>
      </c>
      <c r="G55" s="43">
        <v>24</v>
      </c>
      <c r="H55" s="44">
        <v>0.3</v>
      </c>
      <c r="I55" s="44" t="s">
        <v>38</v>
      </c>
      <c r="J55" s="43">
        <v>121</v>
      </c>
      <c r="K55" s="44">
        <v>38.299999999999997</v>
      </c>
      <c r="L55" s="44" t="s">
        <v>122</v>
      </c>
      <c r="M55" s="43" t="s">
        <v>116</v>
      </c>
      <c r="N55" s="45">
        <v>0</v>
      </c>
      <c r="O55" s="45">
        <v>3</v>
      </c>
      <c r="P55" s="45">
        <v>2</v>
      </c>
      <c r="Q55" s="45">
        <v>1</v>
      </c>
      <c r="R55" s="46">
        <v>3.65</v>
      </c>
      <c r="S55" s="46">
        <v>4.08</v>
      </c>
      <c r="T55" s="46">
        <v>261</v>
      </c>
      <c r="U55" s="47">
        <v>2804.5</v>
      </c>
      <c r="V55" s="23">
        <v>24</v>
      </c>
      <c r="W55" s="38">
        <v>0</v>
      </c>
      <c r="X55" s="38">
        <v>8.9</v>
      </c>
      <c r="Y55" s="38">
        <v>15.1</v>
      </c>
      <c r="Z55" s="38">
        <v>0</v>
      </c>
      <c r="AA55" s="44">
        <v>0.1</v>
      </c>
      <c r="AB55" s="44">
        <f t="shared" si="6"/>
        <v>4.1666666666666666E-3</v>
      </c>
      <c r="AC55" s="52" t="s">
        <v>130</v>
      </c>
      <c r="AD55" s="40" t="s">
        <v>693</v>
      </c>
      <c r="AE55" s="40"/>
      <c r="AF55" s="41" t="s">
        <v>129</v>
      </c>
      <c r="AG55" s="40" t="s">
        <v>694</v>
      </c>
      <c r="AH55" s="38">
        <v>0</v>
      </c>
      <c r="AI55" s="38">
        <v>0</v>
      </c>
      <c r="AJ55" s="38">
        <v>1.6</v>
      </c>
      <c r="AK55" s="38">
        <v>0</v>
      </c>
      <c r="AL55" s="24">
        <f t="shared" si="2"/>
        <v>1.6</v>
      </c>
      <c r="AM55" s="12"/>
      <c r="AN55" s="12"/>
      <c r="AO55" s="12"/>
      <c r="AP55" s="12"/>
      <c r="AQ55" s="55">
        <f t="shared" si="1"/>
        <v>115.90000000000008</v>
      </c>
      <c r="AR55" s="38"/>
      <c r="AS55" s="38">
        <v>197</v>
      </c>
      <c r="AT55" s="26"/>
      <c r="AU55" s="49"/>
      <c r="AV55" s="136"/>
      <c r="AW55" s="137"/>
    </row>
    <row r="56" spans="1:49" ht="19.399999999999999" customHeight="1">
      <c r="A56" s="18" t="s">
        <v>134</v>
      </c>
      <c r="B56" s="18" t="s">
        <v>666</v>
      </c>
      <c r="C56" s="19" t="s">
        <v>175</v>
      </c>
      <c r="D56" s="19" t="s">
        <v>175</v>
      </c>
      <c r="E56" s="19" t="s">
        <v>701</v>
      </c>
      <c r="F56" s="58">
        <v>8</v>
      </c>
      <c r="G56" s="43">
        <v>24</v>
      </c>
      <c r="H56" s="44">
        <v>0.3</v>
      </c>
      <c r="I56" s="44" t="s">
        <v>38</v>
      </c>
      <c r="J56" s="43">
        <v>121</v>
      </c>
      <c r="K56" s="44">
        <v>38.299999999999997</v>
      </c>
      <c r="L56" s="44" t="s">
        <v>122</v>
      </c>
      <c r="M56" s="43" t="s">
        <v>116</v>
      </c>
      <c r="N56" s="45">
        <v>2</v>
      </c>
      <c r="O56" s="45">
        <v>5</v>
      </c>
      <c r="P56" s="45">
        <v>3</v>
      </c>
      <c r="Q56" s="45">
        <v>1</v>
      </c>
      <c r="R56" s="46">
        <v>3.65</v>
      </c>
      <c r="S56" s="46">
        <v>4.08</v>
      </c>
      <c r="T56" s="46">
        <v>261</v>
      </c>
      <c r="U56" s="47">
        <v>2804.5</v>
      </c>
      <c r="V56" s="23">
        <v>24</v>
      </c>
      <c r="W56" s="38">
        <v>0</v>
      </c>
      <c r="X56" s="38">
        <v>24</v>
      </c>
      <c r="Y56" s="38">
        <v>0</v>
      </c>
      <c r="Z56" s="38">
        <v>0</v>
      </c>
      <c r="AA56" s="44">
        <v>0</v>
      </c>
      <c r="AB56" s="44">
        <f t="shared" ref="AB56" si="7">AA56/24</f>
        <v>0</v>
      </c>
      <c r="AC56" s="52" t="s">
        <v>130</v>
      </c>
      <c r="AD56" s="40" t="s">
        <v>696</v>
      </c>
      <c r="AE56" s="40"/>
      <c r="AF56" s="41" t="s">
        <v>697</v>
      </c>
      <c r="AG56" s="40" t="s">
        <v>698</v>
      </c>
      <c r="AH56" s="38">
        <v>0</v>
      </c>
      <c r="AI56" s="38">
        <v>0</v>
      </c>
      <c r="AJ56" s="38">
        <v>2.1</v>
      </c>
      <c r="AK56" s="38">
        <v>0</v>
      </c>
      <c r="AL56" s="24">
        <f t="shared" si="2"/>
        <v>2.1</v>
      </c>
      <c r="AM56" s="12"/>
      <c r="AN56" s="12"/>
      <c r="AO56" s="12"/>
      <c r="AP56" s="12"/>
      <c r="AQ56" s="55">
        <f t="shared" si="1"/>
        <v>113.80000000000008</v>
      </c>
      <c r="AR56" s="38"/>
      <c r="AS56" s="38">
        <v>191</v>
      </c>
      <c r="AT56" s="26"/>
      <c r="AU56" s="49"/>
      <c r="AV56" s="136"/>
      <c r="AW56" s="137"/>
    </row>
    <row r="57" spans="1:49" ht="19.399999999999999" customHeight="1">
      <c r="A57" s="18" t="s">
        <v>134</v>
      </c>
      <c r="B57" s="18" t="s">
        <v>666</v>
      </c>
      <c r="C57" s="19" t="s">
        <v>175</v>
      </c>
      <c r="D57" s="19" t="s">
        <v>175</v>
      </c>
      <c r="E57" s="19" t="s">
        <v>702</v>
      </c>
      <c r="F57" s="58">
        <v>8</v>
      </c>
      <c r="G57" s="43">
        <v>24</v>
      </c>
      <c r="H57" s="44">
        <v>0.3</v>
      </c>
      <c r="I57" s="44" t="s">
        <v>38</v>
      </c>
      <c r="J57" s="43">
        <v>121</v>
      </c>
      <c r="K57" s="44">
        <v>38.299999999999997</v>
      </c>
      <c r="L57" s="44" t="s">
        <v>122</v>
      </c>
      <c r="M57" s="43" t="s">
        <v>116</v>
      </c>
      <c r="N57" s="45">
        <v>10</v>
      </c>
      <c r="O57" s="45">
        <v>2</v>
      </c>
      <c r="P57" s="45">
        <v>2</v>
      </c>
      <c r="Q57" s="45">
        <v>1</v>
      </c>
      <c r="R57" s="46">
        <v>3.65</v>
      </c>
      <c r="S57" s="46">
        <v>4.08</v>
      </c>
      <c r="T57" s="46">
        <v>261</v>
      </c>
      <c r="U57" s="47">
        <v>2804.5</v>
      </c>
      <c r="V57" s="23">
        <v>24</v>
      </c>
      <c r="W57" s="38">
        <v>0</v>
      </c>
      <c r="X57" s="38">
        <v>24</v>
      </c>
      <c r="Y57" s="38">
        <v>0</v>
      </c>
      <c r="Z57" s="38">
        <v>0</v>
      </c>
      <c r="AA57" s="44">
        <v>0</v>
      </c>
      <c r="AB57" s="44">
        <f t="shared" ref="AB57" si="8">AA57/24</f>
        <v>0</v>
      </c>
      <c r="AC57" s="52" t="s">
        <v>130</v>
      </c>
      <c r="AD57" s="40" t="s">
        <v>699</v>
      </c>
      <c r="AE57" s="40"/>
      <c r="AF57" s="41" t="s">
        <v>700</v>
      </c>
      <c r="AG57" s="40" t="s">
        <v>304</v>
      </c>
      <c r="AH57" s="38">
        <v>0</v>
      </c>
      <c r="AI57" s="38">
        <v>0</v>
      </c>
      <c r="AJ57" s="38">
        <v>2.2000000000000002</v>
      </c>
      <c r="AK57" s="38">
        <v>0</v>
      </c>
      <c r="AL57" s="24">
        <f t="shared" si="2"/>
        <v>2.2000000000000002</v>
      </c>
      <c r="AM57" s="12"/>
      <c r="AN57" s="12"/>
      <c r="AO57" s="12"/>
      <c r="AP57" s="12"/>
      <c r="AQ57" s="55">
        <f t="shared" si="1"/>
        <v>111.60000000000008</v>
      </c>
      <c r="AR57" s="38"/>
      <c r="AS57" s="38">
        <v>187</v>
      </c>
      <c r="AT57" s="26"/>
      <c r="AU57" s="49"/>
      <c r="AV57" s="136" t="s">
        <v>703</v>
      </c>
      <c r="AW57" s="137"/>
    </row>
    <row r="58" spans="1:49" ht="19.399999999999999" customHeight="1">
      <c r="A58" s="18" t="s">
        <v>134</v>
      </c>
      <c r="B58" s="18" t="s">
        <v>666</v>
      </c>
      <c r="C58" s="19" t="s">
        <v>175</v>
      </c>
      <c r="D58" s="19" t="s">
        <v>175</v>
      </c>
      <c r="E58" s="19" t="s">
        <v>704</v>
      </c>
      <c r="F58" s="58">
        <v>8</v>
      </c>
      <c r="G58" s="43">
        <v>24</v>
      </c>
      <c r="H58" s="44">
        <v>0.3</v>
      </c>
      <c r="I58" s="44" t="s">
        <v>38</v>
      </c>
      <c r="J58" s="43">
        <v>121</v>
      </c>
      <c r="K58" s="44">
        <v>38.299999999999997</v>
      </c>
      <c r="L58" s="44" t="s">
        <v>122</v>
      </c>
      <c r="M58" s="43" t="s">
        <v>116</v>
      </c>
      <c r="N58" s="45">
        <v>6</v>
      </c>
      <c r="O58" s="45">
        <v>2</v>
      </c>
      <c r="P58" s="45">
        <v>2</v>
      </c>
      <c r="Q58" s="45">
        <v>1</v>
      </c>
      <c r="R58" s="46">
        <v>3.65</v>
      </c>
      <c r="S58" s="46">
        <v>4.08</v>
      </c>
      <c r="T58" s="46">
        <v>261</v>
      </c>
      <c r="U58" s="47">
        <v>2804.5</v>
      </c>
      <c r="V58" s="23">
        <v>24</v>
      </c>
      <c r="W58" s="38">
        <v>0</v>
      </c>
      <c r="X58" s="38">
        <v>7.3</v>
      </c>
      <c r="Y58" s="38">
        <v>16.7</v>
      </c>
      <c r="Z58" s="38">
        <v>0</v>
      </c>
      <c r="AA58" s="44">
        <v>0</v>
      </c>
      <c r="AB58" s="44">
        <f t="shared" ref="AB58" si="9">AA58/24</f>
        <v>0</v>
      </c>
      <c r="AC58" s="52" t="s">
        <v>113</v>
      </c>
      <c r="AD58" s="40">
        <v>215</v>
      </c>
      <c r="AE58" s="40"/>
      <c r="AF58" s="41">
        <v>0</v>
      </c>
      <c r="AG58" s="40">
        <v>0</v>
      </c>
      <c r="AH58" s="38">
        <v>0</v>
      </c>
      <c r="AI58" s="38">
        <v>0</v>
      </c>
      <c r="AJ58" s="38">
        <v>1.6</v>
      </c>
      <c r="AK58" s="38">
        <v>0</v>
      </c>
      <c r="AL58" s="24">
        <f t="shared" si="2"/>
        <v>1.6</v>
      </c>
      <c r="AM58" s="12"/>
      <c r="AN58" s="12"/>
      <c r="AO58" s="12"/>
      <c r="AP58" s="12"/>
      <c r="AQ58" s="55">
        <v>329</v>
      </c>
      <c r="AR58" s="38"/>
      <c r="AS58" s="38">
        <v>184</v>
      </c>
      <c r="AT58" s="26"/>
      <c r="AU58" s="49"/>
      <c r="AV58" s="136"/>
      <c r="AW58" s="137"/>
    </row>
    <row r="59" spans="1:49" ht="19.399999999999999" customHeight="1">
      <c r="A59" s="18" t="s">
        <v>134</v>
      </c>
      <c r="B59" s="18" t="s">
        <v>666</v>
      </c>
      <c r="C59" s="19" t="s">
        <v>175</v>
      </c>
      <c r="D59" s="19" t="s">
        <v>175</v>
      </c>
      <c r="E59" s="19" t="s">
        <v>705</v>
      </c>
      <c r="F59" s="58">
        <v>8</v>
      </c>
      <c r="G59" s="43">
        <v>24</v>
      </c>
      <c r="H59" s="44">
        <v>0.3</v>
      </c>
      <c r="I59" s="44" t="s">
        <v>38</v>
      </c>
      <c r="J59" s="43">
        <v>121</v>
      </c>
      <c r="K59" s="44">
        <v>38.299999999999997</v>
      </c>
      <c r="L59" s="44" t="s">
        <v>122</v>
      </c>
      <c r="M59" s="43" t="s">
        <v>116</v>
      </c>
      <c r="N59" s="45">
        <v>2</v>
      </c>
      <c r="O59" s="45">
        <v>4</v>
      </c>
      <c r="P59" s="45">
        <v>3</v>
      </c>
      <c r="Q59" s="45">
        <v>1</v>
      </c>
      <c r="R59" s="46">
        <v>3.65</v>
      </c>
      <c r="S59" s="46">
        <v>4.08</v>
      </c>
      <c r="T59" s="46">
        <v>261</v>
      </c>
      <c r="U59" s="47">
        <v>2804.5</v>
      </c>
      <c r="V59" s="23">
        <v>24</v>
      </c>
      <c r="W59" s="38">
        <v>0</v>
      </c>
      <c r="X59" s="38">
        <v>0</v>
      </c>
      <c r="Y59" s="38">
        <v>24</v>
      </c>
      <c r="Z59" s="38">
        <v>0</v>
      </c>
      <c r="AA59" s="44">
        <v>0</v>
      </c>
      <c r="AB59" s="44">
        <f t="shared" ref="AB59" si="10">AA59/24</f>
        <v>0</v>
      </c>
      <c r="AC59" s="52" t="s">
        <v>119</v>
      </c>
      <c r="AD59" s="40">
        <v>225</v>
      </c>
      <c r="AE59" s="40"/>
      <c r="AF59" s="41">
        <v>0</v>
      </c>
      <c r="AG59" s="40">
        <v>0</v>
      </c>
      <c r="AH59" s="38">
        <v>0</v>
      </c>
      <c r="AI59" s="38">
        <v>0</v>
      </c>
      <c r="AJ59" s="38">
        <v>1.4</v>
      </c>
      <c r="AK59" s="38">
        <v>0</v>
      </c>
      <c r="AL59" s="24">
        <f t="shared" si="2"/>
        <v>1.4</v>
      </c>
      <c r="AM59" s="12"/>
      <c r="AN59" s="12"/>
      <c r="AO59" s="12"/>
      <c r="AP59" s="12"/>
      <c r="AQ59" s="55">
        <f t="shared" ref="AQ59:AQ100" si="11">AQ58-AL59</f>
        <v>327.60000000000002</v>
      </c>
      <c r="AR59" s="38"/>
      <c r="AS59" s="38">
        <v>180</v>
      </c>
      <c r="AT59" s="26"/>
      <c r="AU59" s="49"/>
      <c r="AV59" s="136"/>
      <c r="AW59" s="137"/>
    </row>
    <row r="60" spans="1:49" ht="19.399999999999999" customHeight="1">
      <c r="A60" s="18" t="s">
        <v>134</v>
      </c>
      <c r="B60" s="18" t="s">
        <v>711</v>
      </c>
      <c r="C60" s="19" t="s">
        <v>175</v>
      </c>
      <c r="D60" s="19" t="s">
        <v>710</v>
      </c>
      <c r="E60" s="19" t="s">
        <v>709</v>
      </c>
      <c r="F60" s="58">
        <v>8</v>
      </c>
      <c r="G60" s="43">
        <v>23</v>
      </c>
      <c r="H60" s="44">
        <v>29.9</v>
      </c>
      <c r="I60" s="44" t="s">
        <v>38</v>
      </c>
      <c r="J60" s="43">
        <v>121</v>
      </c>
      <c r="K60" s="44">
        <v>32.200000000000003</v>
      </c>
      <c r="L60" s="44" t="s">
        <v>122</v>
      </c>
      <c r="M60" s="43" t="s">
        <v>96</v>
      </c>
      <c r="N60" s="45">
        <v>2</v>
      </c>
      <c r="O60" s="45">
        <v>3</v>
      </c>
      <c r="P60" s="45">
        <v>3</v>
      </c>
      <c r="Q60" s="45">
        <v>3</v>
      </c>
      <c r="R60" s="46">
        <v>4.05</v>
      </c>
      <c r="S60" s="46">
        <v>4.0999999999999996</v>
      </c>
      <c r="T60" s="46">
        <v>317</v>
      </c>
      <c r="U60" s="47">
        <v>2948.136</v>
      </c>
      <c r="V60" s="23">
        <v>24</v>
      </c>
      <c r="W60" s="38">
        <v>0.6</v>
      </c>
      <c r="X60" s="38">
        <v>3</v>
      </c>
      <c r="Y60" s="38">
        <v>20.399999999999999</v>
      </c>
      <c r="Z60" s="38">
        <v>0</v>
      </c>
      <c r="AA60" s="44">
        <v>30.7</v>
      </c>
      <c r="AB60" s="44">
        <f t="shared" ref="AB60:AB65" si="12">AA60/24</f>
        <v>1.2791666666666666</v>
      </c>
      <c r="AC60" s="52" t="s">
        <v>131</v>
      </c>
      <c r="AD60" s="40" t="s">
        <v>706</v>
      </c>
      <c r="AE60" s="40"/>
      <c r="AF60" s="41" t="s">
        <v>707</v>
      </c>
      <c r="AG60" s="40" t="s">
        <v>708</v>
      </c>
      <c r="AH60" s="38">
        <v>0.3</v>
      </c>
      <c r="AI60" s="38">
        <v>0</v>
      </c>
      <c r="AJ60" s="38">
        <v>1</v>
      </c>
      <c r="AK60" s="38">
        <v>0</v>
      </c>
      <c r="AL60" s="24">
        <f t="shared" si="2"/>
        <v>1.3</v>
      </c>
      <c r="AM60" s="12"/>
      <c r="AN60" s="12"/>
      <c r="AO60" s="12"/>
      <c r="AP60" s="12"/>
      <c r="AQ60" s="55">
        <f t="shared" si="11"/>
        <v>326.3</v>
      </c>
      <c r="AR60" s="38"/>
      <c r="AS60" s="38">
        <v>174</v>
      </c>
      <c r="AT60" s="26"/>
      <c r="AU60" s="49"/>
      <c r="AV60" s="136"/>
      <c r="AW60" s="137"/>
    </row>
    <row r="61" spans="1:49" ht="19.399999999999999" customHeight="1">
      <c r="A61" s="18" t="s">
        <v>134</v>
      </c>
      <c r="B61" s="18" t="s">
        <v>711</v>
      </c>
      <c r="C61" s="19" t="s">
        <v>175</v>
      </c>
      <c r="D61" s="19" t="s">
        <v>710</v>
      </c>
      <c r="E61" s="19" t="s">
        <v>715</v>
      </c>
      <c r="F61" s="58">
        <v>8</v>
      </c>
      <c r="G61" s="43">
        <v>22</v>
      </c>
      <c r="H61" s="44">
        <v>58.7</v>
      </c>
      <c r="I61" s="44" t="s">
        <v>38</v>
      </c>
      <c r="J61" s="43">
        <v>120</v>
      </c>
      <c r="K61" s="44">
        <v>10.5</v>
      </c>
      <c r="L61" s="44" t="s">
        <v>122</v>
      </c>
      <c r="M61" s="43" t="s">
        <v>96</v>
      </c>
      <c r="N61" s="45">
        <v>0</v>
      </c>
      <c r="O61" s="45">
        <v>2</v>
      </c>
      <c r="P61" s="45">
        <v>2</v>
      </c>
      <c r="Q61" s="45">
        <v>1</v>
      </c>
      <c r="R61" s="46">
        <v>4.05</v>
      </c>
      <c r="S61" s="46">
        <v>4.0999999999999996</v>
      </c>
      <c r="T61" s="46">
        <v>317</v>
      </c>
      <c r="U61" s="47">
        <v>2948.136</v>
      </c>
      <c r="V61" s="23">
        <v>24</v>
      </c>
      <c r="W61" s="38">
        <v>0</v>
      </c>
      <c r="X61" s="38">
        <v>23.4</v>
      </c>
      <c r="Y61" s="38">
        <v>0.6</v>
      </c>
      <c r="Z61" s="38">
        <v>0</v>
      </c>
      <c r="AA61" s="44">
        <v>194.8</v>
      </c>
      <c r="AB61" s="44">
        <f t="shared" si="12"/>
        <v>8.1166666666666671</v>
      </c>
      <c r="AC61" s="52" t="s">
        <v>131</v>
      </c>
      <c r="AD61" s="40" t="s">
        <v>712</v>
      </c>
      <c r="AE61" s="40"/>
      <c r="AF61" s="41" t="s">
        <v>713</v>
      </c>
      <c r="AG61" s="40" t="s">
        <v>714</v>
      </c>
      <c r="AH61" s="38">
        <v>4.8</v>
      </c>
      <c r="AI61" s="38">
        <v>0</v>
      </c>
      <c r="AJ61" s="38">
        <v>0</v>
      </c>
      <c r="AK61" s="38">
        <v>0</v>
      </c>
      <c r="AL61" s="24">
        <f t="shared" si="2"/>
        <v>4.8</v>
      </c>
      <c r="AM61" s="12"/>
      <c r="AN61" s="12"/>
      <c r="AO61" s="12"/>
      <c r="AP61" s="12"/>
      <c r="AQ61" s="55">
        <f t="shared" si="11"/>
        <v>321.5</v>
      </c>
      <c r="AR61" s="38"/>
      <c r="AS61" s="38">
        <v>171</v>
      </c>
      <c r="AT61" s="26"/>
      <c r="AU61" s="49"/>
      <c r="AV61" s="136"/>
      <c r="AW61" s="137"/>
    </row>
    <row r="62" spans="1:49" ht="19.399999999999999" customHeight="1">
      <c r="A62" s="18" t="s">
        <v>134</v>
      </c>
      <c r="B62" s="18" t="s">
        <v>711</v>
      </c>
      <c r="C62" s="19" t="s">
        <v>175</v>
      </c>
      <c r="D62" s="19" t="s">
        <v>710</v>
      </c>
      <c r="E62" s="19" t="s">
        <v>716</v>
      </c>
      <c r="F62" s="58">
        <v>8</v>
      </c>
      <c r="G62" s="43">
        <v>22</v>
      </c>
      <c r="H62" s="44">
        <v>58.7</v>
      </c>
      <c r="I62" s="44" t="s">
        <v>38</v>
      </c>
      <c r="J62" s="43">
        <v>120</v>
      </c>
      <c r="K62" s="44">
        <v>10.5</v>
      </c>
      <c r="L62" s="44" t="s">
        <v>122</v>
      </c>
      <c r="M62" s="43" t="s">
        <v>96</v>
      </c>
      <c r="N62" s="45">
        <v>2</v>
      </c>
      <c r="O62" s="45">
        <v>2</v>
      </c>
      <c r="P62" s="45">
        <v>2</v>
      </c>
      <c r="Q62" s="45">
        <v>1</v>
      </c>
      <c r="R62" s="46">
        <v>4.05</v>
      </c>
      <c r="S62" s="46">
        <v>4.0999999999999996</v>
      </c>
      <c r="T62" s="46">
        <v>317</v>
      </c>
      <c r="U62" s="47">
        <v>2948.136</v>
      </c>
      <c r="V62" s="23">
        <v>24</v>
      </c>
      <c r="W62" s="38">
        <v>0</v>
      </c>
      <c r="X62" s="38">
        <v>0</v>
      </c>
      <c r="Y62" s="38">
        <v>24</v>
      </c>
      <c r="Z62" s="38">
        <v>0</v>
      </c>
      <c r="AA62" s="44">
        <v>0</v>
      </c>
      <c r="AB62" s="44">
        <f t="shared" si="12"/>
        <v>0</v>
      </c>
      <c r="AC62" s="52" t="s">
        <v>119</v>
      </c>
      <c r="AD62" s="40">
        <v>171</v>
      </c>
      <c r="AE62" s="40"/>
      <c r="AF62" s="41">
        <v>0</v>
      </c>
      <c r="AG62" s="40">
        <v>0</v>
      </c>
      <c r="AH62" s="38">
        <v>0</v>
      </c>
      <c r="AI62" s="38">
        <v>0</v>
      </c>
      <c r="AJ62" s="38">
        <v>1.2</v>
      </c>
      <c r="AK62" s="38">
        <v>0</v>
      </c>
      <c r="AL62" s="24">
        <f t="shared" si="2"/>
        <v>1.2</v>
      </c>
      <c r="AM62" s="12"/>
      <c r="AN62" s="12"/>
      <c r="AO62" s="12"/>
      <c r="AP62" s="12"/>
      <c r="AQ62" s="55">
        <f t="shared" si="11"/>
        <v>320.3</v>
      </c>
      <c r="AR62" s="38"/>
      <c r="AS62" s="38">
        <v>167</v>
      </c>
      <c r="AT62" s="26"/>
      <c r="AU62" s="49"/>
      <c r="AV62" s="136"/>
      <c r="AW62" s="137"/>
    </row>
    <row r="63" spans="1:49" ht="19.399999999999999" customHeight="1">
      <c r="A63" s="18" t="s">
        <v>134</v>
      </c>
      <c r="B63" s="18" t="s">
        <v>711</v>
      </c>
      <c r="C63" s="19" t="s">
        <v>175</v>
      </c>
      <c r="D63" s="19" t="s">
        <v>710</v>
      </c>
      <c r="E63" s="19" t="s">
        <v>718</v>
      </c>
      <c r="F63" s="58">
        <v>8</v>
      </c>
      <c r="G63" s="43">
        <v>22</v>
      </c>
      <c r="H63" s="44">
        <v>58.7</v>
      </c>
      <c r="I63" s="44" t="s">
        <v>38</v>
      </c>
      <c r="J63" s="43">
        <v>120</v>
      </c>
      <c r="K63" s="44">
        <v>10.5</v>
      </c>
      <c r="L63" s="44" t="s">
        <v>122</v>
      </c>
      <c r="M63" s="43" t="s">
        <v>96</v>
      </c>
      <c r="N63" s="45">
        <v>0</v>
      </c>
      <c r="O63" s="45">
        <v>4</v>
      </c>
      <c r="P63" s="45">
        <v>3</v>
      </c>
      <c r="Q63" s="45">
        <v>1</v>
      </c>
      <c r="R63" s="46">
        <v>4.05</v>
      </c>
      <c r="S63" s="46">
        <v>4.0999999999999996</v>
      </c>
      <c r="T63" s="46">
        <v>317</v>
      </c>
      <c r="U63" s="47">
        <v>2948.136</v>
      </c>
      <c r="V63" s="23">
        <v>24</v>
      </c>
      <c r="W63" s="38">
        <v>0</v>
      </c>
      <c r="X63" s="38">
        <v>0</v>
      </c>
      <c r="Y63" s="38">
        <v>24</v>
      </c>
      <c r="Z63" s="38">
        <v>0</v>
      </c>
      <c r="AA63" s="44">
        <v>0</v>
      </c>
      <c r="AB63" s="44">
        <f t="shared" si="12"/>
        <v>0</v>
      </c>
      <c r="AC63" s="52" t="s">
        <v>119</v>
      </c>
      <c r="AD63" s="40">
        <v>209</v>
      </c>
      <c r="AE63" s="40"/>
      <c r="AF63" s="41">
        <v>0</v>
      </c>
      <c r="AG63" s="40">
        <v>0</v>
      </c>
      <c r="AH63" s="38">
        <v>0</v>
      </c>
      <c r="AI63" s="38">
        <v>0</v>
      </c>
      <c r="AJ63" s="38">
        <v>1.2</v>
      </c>
      <c r="AK63" s="38">
        <v>0</v>
      </c>
      <c r="AL63" s="24">
        <f t="shared" si="2"/>
        <v>1.2</v>
      </c>
      <c r="AM63" s="12"/>
      <c r="AN63" s="12"/>
      <c r="AO63" s="12"/>
      <c r="AP63" s="12"/>
      <c r="AQ63" s="55">
        <f t="shared" si="11"/>
        <v>319.10000000000002</v>
      </c>
      <c r="AR63" s="38"/>
      <c r="AS63" s="38">
        <v>162</v>
      </c>
      <c r="AT63" s="26"/>
      <c r="AU63" s="49"/>
      <c r="AV63" s="136"/>
      <c r="AW63" s="137"/>
    </row>
    <row r="64" spans="1:49" ht="19.399999999999999" customHeight="1">
      <c r="A64" s="18" t="s">
        <v>134</v>
      </c>
      <c r="B64" s="18" t="s">
        <v>711</v>
      </c>
      <c r="C64" s="19" t="s">
        <v>175</v>
      </c>
      <c r="D64" s="19" t="s">
        <v>710</v>
      </c>
      <c r="E64" s="19" t="s">
        <v>717</v>
      </c>
      <c r="F64" s="58">
        <v>8</v>
      </c>
      <c r="G64" s="43">
        <v>22</v>
      </c>
      <c r="H64" s="44">
        <v>58.7</v>
      </c>
      <c r="I64" s="44" t="s">
        <v>38</v>
      </c>
      <c r="J64" s="43">
        <v>120</v>
      </c>
      <c r="K64" s="44">
        <v>10.5</v>
      </c>
      <c r="L64" s="44" t="s">
        <v>122</v>
      </c>
      <c r="M64" s="43" t="s">
        <v>96</v>
      </c>
      <c r="N64" s="45">
        <v>2</v>
      </c>
      <c r="O64" s="45">
        <v>3</v>
      </c>
      <c r="P64" s="45">
        <v>2</v>
      </c>
      <c r="Q64" s="45">
        <v>1</v>
      </c>
      <c r="R64" s="46">
        <v>4.05</v>
      </c>
      <c r="S64" s="46">
        <v>4.0999999999999996</v>
      </c>
      <c r="T64" s="46">
        <v>317</v>
      </c>
      <c r="U64" s="47">
        <v>2948.136</v>
      </c>
      <c r="V64" s="23">
        <v>24</v>
      </c>
      <c r="W64" s="38">
        <v>0</v>
      </c>
      <c r="X64" s="38">
        <v>0</v>
      </c>
      <c r="Y64" s="38">
        <v>24</v>
      </c>
      <c r="Z64" s="38">
        <v>0</v>
      </c>
      <c r="AA64" s="44">
        <v>0</v>
      </c>
      <c r="AB64" s="44">
        <f t="shared" si="12"/>
        <v>0</v>
      </c>
      <c r="AC64" s="52" t="s">
        <v>119</v>
      </c>
      <c r="AD64" s="40">
        <v>176</v>
      </c>
      <c r="AE64" s="40"/>
      <c r="AF64" s="41">
        <v>0</v>
      </c>
      <c r="AG64" s="41">
        <v>0</v>
      </c>
      <c r="AH64" s="38">
        <v>0</v>
      </c>
      <c r="AI64" s="38">
        <v>0</v>
      </c>
      <c r="AJ64" s="38">
        <v>1.2</v>
      </c>
      <c r="AK64" s="38">
        <v>0</v>
      </c>
      <c r="AL64" s="24">
        <f t="shared" si="2"/>
        <v>1.2</v>
      </c>
      <c r="AM64" s="12"/>
      <c r="AN64" s="12"/>
      <c r="AO64" s="12"/>
      <c r="AP64" s="12"/>
      <c r="AQ64" s="55">
        <f t="shared" si="11"/>
        <v>317.90000000000003</v>
      </c>
      <c r="AR64" s="38"/>
      <c r="AS64" s="38">
        <v>157</v>
      </c>
      <c r="AT64" s="26"/>
      <c r="AU64" s="49"/>
      <c r="AV64" s="136"/>
      <c r="AW64" s="137"/>
    </row>
    <row r="65" spans="1:49" ht="19.399999999999999" customHeight="1">
      <c r="A65" s="18" t="s">
        <v>134</v>
      </c>
      <c r="B65" s="18" t="s">
        <v>711</v>
      </c>
      <c r="C65" s="19" t="s">
        <v>175</v>
      </c>
      <c r="D65" s="19" t="s">
        <v>710</v>
      </c>
      <c r="E65" s="19" t="s">
        <v>719</v>
      </c>
      <c r="F65" s="58">
        <v>8</v>
      </c>
      <c r="G65" s="43">
        <v>22</v>
      </c>
      <c r="H65" s="44">
        <v>58.7</v>
      </c>
      <c r="I65" s="44" t="s">
        <v>38</v>
      </c>
      <c r="J65" s="43">
        <v>120</v>
      </c>
      <c r="K65" s="44">
        <v>10.5</v>
      </c>
      <c r="L65" s="44" t="s">
        <v>122</v>
      </c>
      <c r="M65" s="43" t="s">
        <v>96</v>
      </c>
      <c r="N65" s="45">
        <v>0</v>
      </c>
      <c r="O65" s="45">
        <v>4</v>
      </c>
      <c r="P65" s="45">
        <v>3</v>
      </c>
      <c r="Q65" s="45">
        <v>1</v>
      </c>
      <c r="R65" s="46">
        <v>4.05</v>
      </c>
      <c r="S65" s="46">
        <v>4.0999999999999996</v>
      </c>
      <c r="T65" s="46">
        <v>317</v>
      </c>
      <c r="U65" s="47">
        <v>2948.136</v>
      </c>
      <c r="V65" s="23">
        <v>24</v>
      </c>
      <c r="W65" s="38">
        <v>0</v>
      </c>
      <c r="X65" s="38">
        <v>0</v>
      </c>
      <c r="Y65" s="38">
        <v>24</v>
      </c>
      <c r="Z65" s="38">
        <v>0</v>
      </c>
      <c r="AA65" s="44">
        <v>0</v>
      </c>
      <c r="AB65" s="44">
        <f t="shared" si="12"/>
        <v>0</v>
      </c>
      <c r="AC65" s="52" t="s">
        <v>119</v>
      </c>
      <c r="AD65" s="40">
        <v>177</v>
      </c>
      <c r="AE65" s="40"/>
      <c r="AF65" s="41">
        <v>0</v>
      </c>
      <c r="AG65" s="41">
        <v>0</v>
      </c>
      <c r="AH65" s="38">
        <v>0</v>
      </c>
      <c r="AI65" s="38">
        <v>0</v>
      </c>
      <c r="AJ65" s="38">
        <v>1.2</v>
      </c>
      <c r="AK65" s="56">
        <v>0</v>
      </c>
      <c r="AL65" s="24">
        <f t="shared" si="2"/>
        <v>1.2</v>
      </c>
      <c r="AM65" s="12"/>
      <c r="AN65" s="12"/>
      <c r="AO65" s="12"/>
      <c r="AP65" s="12"/>
      <c r="AQ65" s="55">
        <f t="shared" si="11"/>
        <v>316.70000000000005</v>
      </c>
      <c r="AR65" s="38"/>
      <c r="AS65" s="38">
        <v>153</v>
      </c>
      <c r="AT65" s="26"/>
      <c r="AU65" s="49"/>
      <c r="AV65" s="136"/>
      <c r="AW65" s="137"/>
    </row>
    <row r="66" spans="1:49" ht="19.399999999999999" customHeight="1">
      <c r="A66" s="18" t="s">
        <v>134</v>
      </c>
      <c r="B66" s="18" t="s">
        <v>711</v>
      </c>
      <c r="C66" s="19" t="s">
        <v>175</v>
      </c>
      <c r="D66" s="19" t="s">
        <v>710</v>
      </c>
      <c r="E66" s="19" t="s">
        <v>720</v>
      </c>
      <c r="F66" s="58">
        <v>8</v>
      </c>
      <c r="G66" s="43">
        <v>22</v>
      </c>
      <c r="H66" s="44">
        <v>58.7</v>
      </c>
      <c r="I66" s="44" t="s">
        <v>38</v>
      </c>
      <c r="J66" s="43">
        <v>120</v>
      </c>
      <c r="K66" s="44">
        <v>10.5</v>
      </c>
      <c r="L66" s="44" t="s">
        <v>122</v>
      </c>
      <c r="M66" s="43" t="s">
        <v>96</v>
      </c>
      <c r="N66" s="45">
        <v>2</v>
      </c>
      <c r="O66" s="45">
        <v>3</v>
      </c>
      <c r="P66" s="45">
        <v>2</v>
      </c>
      <c r="Q66" s="45">
        <v>1</v>
      </c>
      <c r="R66" s="46">
        <v>4.05</v>
      </c>
      <c r="S66" s="46">
        <v>4.0999999999999996</v>
      </c>
      <c r="T66" s="46">
        <v>317</v>
      </c>
      <c r="U66" s="47">
        <v>2948.136</v>
      </c>
      <c r="V66" s="23">
        <v>24</v>
      </c>
      <c r="W66" s="38">
        <v>0</v>
      </c>
      <c r="X66" s="38">
        <v>0</v>
      </c>
      <c r="Y66" s="38">
        <v>24</v>
      </c>
      <c r="Z66" s="38">
        <v>0</v>
      </c>
      <c r="AA66" s="44">
        <v>0</v>
      </c>
      <c r="AB66" s="44">
        <f t="shared" ref="AB66" si="13">AA66/24</f>
        <v>0</v>
      </c>
      <c r="AC66" s="52" t="s">
        <v>113</v>
      </c>
      <c r="AD66" s="40">
        <v>222</v>
      </c>
      <c r="AE66" s="40"/>
      <c r="AF66" s="41">
        <v>0</v>
      </c>
      <c r="AG66" s="41">
        <v>0</v>
      </c>
      <c r="AH66" s="38">
        <v>0</v>
      </c>
      <c r="AI66" s="38">
        <v>0</v>
      </c>
      <c r="AJ66" s="38">
        <v>1.4</v>
      </c>
      <c r="AK66" s="56">
        <v>0</v>
      </c>
      <c r="AL66" s="24">
        <f t="shared" si="2"/>
        <v>1.4</v>
      </c>
      <c r="AM66" s="12"/>
      <c r="AN66" s="12"/>
      <c r="AO66" s="12"/>
      <c r="AP66" s="12"/>
      <c r="AQ66" s="55">
        <f t="shared" si="11"/>
        <v>315.30000000000007</v>
      </c>
      <c r="AR66" s="38"/>
      <c r="AS66" s="38">
        <v>149</v>
      </c>
      <c r="AT66" s="26"/>
      <c r="AU66" s="49"/>
      <c r="AV66" s="136"/>
      <c r="AW66" s="137"/>
    </row>
    <row r="67" spans="1:49" ht="19.399999999999999" customHeight="1">
      <c r="A67" s="18" t="s">
        <v>134</v>
      </c>
      <c r="B67" s="18" t="s">
        <v>711</v>
      </c>
      <c r="C67" s="19" t="s">
        <v>175</v>
      </c>
      <c r="D67" s="19" t="s">
        <v>710</v>
      </c>
      <c r="E67" s="19" t="s">
        <v>721</v>
      </c>
      <c r="F67" s="58">
        <v>8</v>
      </c>
      <c r="G67" s="43">
        <v>22</v>
      </c>
      <c r="H67" s="44">
        <v>58.7</v>
      </c>
      <c r="I67" s="44" t="s">
        <v>38</v>
      </c>
      <c r="J67" s="43">
        <v>120</v>
      </c>
      <c r="K67" s="44">
        <v>10.5</v>
      </c>
      <c r="L67" s="44" t="s">
        <v>122</v>
      </c>
      <c r="M67" s="43" t="s">
        <v>96</v>
      </c>
      <c r="N67" s="45">
        <v>2</v>
      </c>
      <c r="O67" s="45">
        <v>2</v>
      </c>
      <c r="P67" s="45">
        <v>1</v>
      </c>
      <c r="Q67" s="45">
        <v>1</v>
      </c>
      <c r="R67" s="46">
        <v>4.05</v>
      </c>
      <c r="S67" s="46">
        <v>4.0999999999999996</v>
      </c>
      <c r="T67" s="46">
        <v>317</v>
      </c>
      <c r="U67" s="47">
        <v>2948.136</v>
      </c>
      <c r="V67" s="23">
        <v>24</v>
      </c>
      <c r="W67" s="38">
        <v>0</v>
      </c>
      <c r="X67" s="38">
        <v>0</v>
      </c>
      <c r="Y67" s="38">
        <v>24</v>
      </c>
      <c r="Z67" s="38">
        <v>0</v>
      </c>
      <c r="AA67" s="44">
        <v>0</v>
      </c>
      <c r="AB67" s="44">
        <f t="shared" ref="AB67" si="14">AA67/24</f>
        <v>0</v>
      </c>
      <c r="AC67" s="52" t="s">
        <v>113</v>
      </c>
      <c r="AD67" s="40">
        <v>174</v>
      </c>
      <c r="AE67" s="40"/>
      <c r="AF67" s="41">
        <v>0</v>
      </c>
      <c r="AG67" s="41">
        <v>0</v>
      </c>
      <c r="AH67" s="38">
        <v>0</v>
      </c>
      <c r="AI67" s="38">
        <v>0</v>
      </c>
      <c r="AJ67" s="38">
        <v>1.5</v>
      </c>
      <c r="AK67" s="56">
        <v>0</v>
      </c>
      <c r="AL67" s="24">
        <f t="shared" si="2"/>
        <v>1.5</v>
      </c>
      <c r="AM67" s="12"/>
      <c r="AN67" s="12"/>
      <c r="AO67" s="12"/>
      <c r="AP67" s="12"/>
      <c r="AQ67" s="55">
        <f t="shared" si="11"/>
        <v>313.80000000000007</v>
      </c>
      <c r="AR67" s="38"/>
      <c r="AS67" s="38">
        <v>145</v>
      </c>
      <c r="AT67" s="26"/>
      <c r="AU67" s="49"/>
      <c r="AV67" s="136"/>
      <c r="AW67" s="137"/>
    </row>
    <row r="68" spans="1:49" ht="19.399999999999999" customHeight="1">
      <c r="A68" s="18" t="s">
        <v>134</v>
      </c>
      <c r="B68" s="18" t="s">
        <v>711</v>
      </c>
      <c r="C68" s="19" t="s">
        <v>175</v>
      </c>
      <c r="D68" s="19" t="s">
        <v>710</v>
      </c>
      <c r="E68" s="19" t="s">
        <v>722</v>
      </c>
      <c r="F68" s="58">
        <v>8</v>
      </c>
      <c r="G68" s="43">
        <v>22</v>
      </c>
      <c r="H68" s="44">
        <v>58.7</v>
      </c>
      <c r="I68" s="44" t="s">
        <v>38</v>
      </c>
      <c r="J68" s="43">
        <v>120</v>
      </c>
      <c r="K68" s="44">
        <v>10.5</v>
      </c>
      <c r="L68" s="44" t="s">
        <v>122</v>
      </c>
      <c r="M68" s="43" t="s">
        <v>96</v>
      </c>
      <c r="N68" s="45">
        <v>14</v>
      </c>
      <c r="O68" s="45">
        <v>2</v>
      </c>
      <c r="P68" s="45">
        <v>1</v>
      </c>
      <c r="Q68" s="45">
        <v>1</v>
      </c>
      <c r="R68" s="46">
        <v>4.05</v>
      </c>
      <c r="S68" s="46">
        <v>4.0999999999999996</v>
      </c>
      <c r="T68" s="46">
        <v>317</v>
      </c>
      <c r="U68" s="47">
        <v>2948.136</v>
      </c>
      <c r="V68" s="23">
        <v>24</v>
      </c>
      <c r="W68" s="38">
        <v>0</v>
      </c>
      <c r="X68" s="38">
        <v>0</v>
      </c>
      <c r="Y68" s="38">
        <v>24</v>
      </c>
      <c r="Z68" s="38">
        <v>0</v>
      </c>
      <c r="AA68" s="44">
        <v>0</v>
      </c>
      <c r="AB68" s="44">
        <f t="shared" ref="AB68" si="15">AA68/24</f>
        <v>0</v>
      </c>
      <c r="AC68" s="52" t="s">
        <v>113</v>
      </c>
      <c r="AD68" s="40">
        <v>223</v>
      </c>
      <c r="AE68" s="40"/>
      <c r="AF68" s="41">
        <v>0</v>
      </c>
      <c r="AG68" s="41">
        <v>0</v>
      </c>
      <c r="AH68" s="38">
        <v>0</v>
      </c>
      <c r="AI68" s="38">
        <v>0</v>
      </c>
      <c r="AJ68" s="38">
        <v>1.5</v>
      </c>
      <c r="AK68" s="56">
        <v>0</v>
      </c>
      <c r="AL68" s="24">
        <f t="shared" si="2"/>
        <v>1.5</v>
      </c>
      <c r="AM68" s="12"/>
      <c r="AN68" s="12"/>
      <c r="AO68" s="12"/>
      <c r="AP68" s="12"/>
      <c r="AQ68" s="55">
        <f t="shared" si="11"/>
        <v>312.30000000000007</v>
      </c>
      <c r="AR68" s="38"/>
      <c r="AS68" s="38">
        <v>142</v>
      </c>
      <c r="AT68" s="26"/>
      <c r="AU68" s="49"/>
      <c r="AV68" s="136"/>
      <c r="AW68" s="137"/>
    </row>
    <row r="69" spans="1:49" ht="19.399999999999999" customHeight="1">
      <c r="A69" s="18" t="s">
        <v>134</v>
      </c>
      <c r="B69" s="18" t="s">
        <v>711</v>
      </c>
      <c r="C69" s="19" t="s">
        <v>175</v>
      </c>
      <c r="D69" s="19" t="s">
        <v>710</v>
      </c>
      <c r="E69" s="19" t="s">
        <v>723</v>
      </c>
      <c r="F69" s="58">
        <v>8</v>
      </c>
      <c r="G69" s="43">
        <v>22</v>
      </c>
      <c r="H69" s="44">
        <v>58.7</v>
      </c>
      <c r="I69" s="44" t="s">
        <v>38</v>
      </c>
      <c r="J69" s="43">
        <v>120</v>
      </c>
      <c r="K69" s="44">
        <v>10.5</v>
      </c>
      <c r="L69" s="44" t="s">
        <v>122</v>
      </c>
      <c r="M69" s="43" t="s">
        <v>96</v>
      </c>
      <c r="N69" s="45">
        <v>14</v>
      </c>
      <c r="O69" s="45">
        <v>2</v>
      </c>
      <c r="P69" s="45">
        <v>1</v>
      </c>
      <c r="Q69" s="45">
        <v>1</v>
      </c>
      <c r="R69" s="46">
        <v>4.05</v>
      </c>
      <c r="S69" s="46">
        <v>4.0999999999999996</v>
      </c>
      <c r="T69" s="46">
        <v>317</v>
      </c>
      <c r="U69" s="47">
        <v>2948.136</v>
      </c>
      <c r="V69" s="23">
        <v>24</v>
      </c>
      <c r="W69" s="38">
        <v>0</v>
      </c>
      <c r="X69" s="38">
        <v>0</v>
      </c>
      <c r="Y69" s="38">
        <v>24</v>
      </c>
      <c r="Z69" s="38">
        <v>0</v>
      </c>
      <c r="AA69" s="44">
        <v>0</v>
      </c>
      <c r="AB69" s="44">
        <f t="shared" ref="AB69" si="16">AA69/24</f>
        <v>0</v>
      </c>
      <c r="AC69" s="52" t="s">
        <v>113</v>
      </c>
      <c r="AD69" s="40">
        <v>219</v>
      </c>
      <c r="AE69" s="40"/>
      <c r="AF69" s="41">
        <v>0</v>
      </c>
      <c r="AG69" s="41">
        <v>0</v>
      </c>
      <c r="AH69" s="38">
        <v>0</v>
      </c>
      <c r="AI69" s="38">
        <v>0</v>
      </c>
      <c r="AJ69" s="38">
        <v>1.4</v>
      </c>
      <c r="AK69" s="56">
        <v>0</v>
      </c>
      <c r="AL69" s="24">
        <f t="shared" si="2"/>
        <v>1.4</v>
      </c>
      <c r="AM69" s="12"/>
      <c r="AN69" s="12"/>
      <c r="AO69" s="12"/>
      <c r="AP69" s="12"/>
      <c r="AQ69" s="55">
        <f t="shared" si="11"/>
        <v>310.90000000000009</v>
      </c>
      <c r="AR69" s="38"/>
      <c r="AS69" s="38">
        <v>139</v>
      </c>
      <c r="AT69" s="26"/>
      <c r="AU69" s="49"/>
      <c r="AV69" s="136"/>
      <c r="AW69" s="137"/>
    </row>
    <row r="70" spans="1:49" ht="19.399999999999999" customHeight="1">
      <c r="A70" s="18" t="s">
        <v>134</v>
      </c>
      <c r="B70" s="18" t="s">
        <v>711</v>
      </c>
      <c r="C70" s="19" t="s">
        <v>175</v>
      </c>
      <c r="D70" s="19" t="s">
        <v>710</v>
      </c>
      <c r="E70" s="19" t="s">
        <v>724</v>
      </c>
      <c r="F70" s="58">
        <v>8</v>
      </c>
      <c r="G70" s="43">
        <v>22</v>
      </c>
      <c r="H70" s="44">
        <v>58.7</v>
      </c>
      <c r="I70" s="44" t="s">
        <v>38</v>
      </c>
      <c r="J70" s="43">
        <v>120</v>
      </c>
      <c r="K70" s="44">
        <v>10.5</v>
      </c>
      <c r="L70" s="44" t="s">
        <v>122</v>
      </c>
      <c r="M70" s="43" t="s">
        <v>96</v>
      </c>
      <c r="N70" s="45">
        <v>14</v>
      </c>
      <c r="O70" s="45">
        <v>2</v>
      </c>
      <c r="P70" s="45">
        <v>1</v>
      </c>
      <c r="Q70" s="45">
        <v>1</v>
      </c>
      <c r="R70" s="46">
        <v>4.05</v>
      </c>
      <c r="S70" s="46">
        <v>4.0999999999999996</v>
      </c>
      <c r="T70" s="46">
        <v>317</v>
      </c>
      <c r="U70" s="47">
        <v>2948.136</v>
      </c>
      <c r="V70" s="23">
        <v>24</v>
      </c>
      <c r="W70" s="38">
        <v>0</v>
      </c>
      <c r="X70" s="38">
        <v>0</v>
      </c>
      <c r="Y70" s="38">
        <v>24</v>
      </c>
      <c r="Z70" s="38">
        <v>0</v>
      </c>
      <c r="AA70" s="44">
        <v>0</v>
      </c>
      <c r="AB70" s="44">
        <f t="shared" ref="AB70" si="17">AA70/24</f>
        <v>0</v>
      </c>
      <c r="AC70" s="52" t="s">
        <v>113</v>
      </c>
      <c r="AD70" s="40">
        <v>184</v>
      </c>
      <c r="AE70" s="40"/>
      <c r="AF70" s="41">
        <v>0</v>
      </c>
      <c r="AG70" s="41">
        <v>0</v>
      </c>
      <c r="AH70" s="38">
        <v>0</v>
      </c>
      <c r="AI70" s="38">
        <v>0</v>
      </c>
      <c r="AJ70" s="38">
        <v>1.5</v>
      </c>
      <c r="AK70" s="56">
        <v>0</v>
      </c>
      <c r="AL70" s="24">
        <f t="shared" si="2"/>
        <v>1.5</v>
      </c>
      <c r="AM70" s="12"/>
      <c r="AN70" s="12"/>
      <c r="AO70" s="12"/>
      <c r="AP70" s="12"/>
      <c r="AQ70" s="55">
        <f t="shared" si="11"/>
        <v>309.40000000000009</v>
      </c>
      <c r="AR70" s="38"/>
      <c r="AS70" s="38">
        <v>137</v>
      </c>
      <c r="AT70" s="26"/>
      <c r="AU70" s="49"/>
      <c r="AV70" s="136"/>
      <c r="AW70" s="137"/>
    </row>
    <row r="71" spans="1:49" ht="19.399999999999999" customHeight="1">
      <c r="A71" s="18" t="s">
        <v>134</v>
      </c>
      <c r="B71" s="18" t="s">
        <v>711</v>
      </c>
      <c r="C71" s="19" t="s">
        <v>175</v>
      </c>
      <c r="D71" s="19" t="s">
        <v>710</v>
      </c>
      <c r="E71" s="19" t="s">
        <v>725</v>
      </c>
      <c r="F71" s="58">
        <v>8</v>
      </c>
      <c r="G71" s="43">
        <v>22</v>
      </c>
      <c r="H71" s="44">
        <v>58.7</v>
      </c>
      <c r="I71" s="44" t="s">
        <v>38</v>
      </c>
      <c r="J71" s="43">
        <v>120</v>
      </c>
      <c r="K71" s="44">
        <v>10.5</v>
      </c>
      <c r="L71" s="44" t="s">
        <v>122</v>
      </c>
      <c r="M71" s="43" t="s">
        <v>96</v>
      </c>
      <c r="N71" s="45">
        <v>14</v>
      </c>
      <c r="O71" s="45">
        <v>2</v>
      </c>
      <c r="P71" s="45">
        <v>1</v>
      </c>
      <c r="Q71" s="45">
        <v>1</v>
      </c>
      <c r="R71" s="46">
        <v>4.05</v>
      </c>
      <c r="S71" s="46">
        <v>4.0999999999999996</v>
      </c>
      <c r="T71" s="46">
        <v>317</v>
      </c>
      <c r="U71" s="47">
        <v>2948.136</v>
      </c>
      <c r="V71" s="23">
        <v>24</v>
      </c>
      <c r="W71" s="38">
        <v>0</v>
      </c>
      <c r="X71" s="38">
        <v>0</v>
      </c>
      <c r="Y71" s="38">
        <v>24</v>
      </c>
      <c r="Z71" s="38">
        <v>0</v>
      </c>
      <c r="AA71" s="44">
        <v>0</v>
      </c>
      <c r="AB71" s="44">
        <f t="shared" ref="AB71" si="18">AA71/24</f>
        <v>0</v>
      </c>
      <c r="AC71" s="52" t="s">
        <v>113</v>
      </c>
      <c r="AD71" s="40">
        <v>180</v>
      </c>
      <c r="AE71" s="40"/>
      <c r="AF71" s="41">
        <v>0</v>
      </c>
      <c r="AG71" s="41">
        <v>0</v>
      </c>
      <c r="AH71" s="38">
        <v>0</v>
      </c>
      <c r="AI71" s="38">
        <v>0</v>
      </c>
      <c r="AJ71" s="38">
        <v>1.4</v>
      </c>
      <c r="AK71" s="56">
        <v>0</v>
      </c>
      <c r="AL71" s="24">
        <f t="shared" si="2"/>
        <v>1.4</v>
      </c>
      <c r="AM71" s="12"/>
      <c r="AN71" s="12"/>
      <c r="AO71" s="12"/>
      <c r="AP71" s="12"/>
      <c r="AQ71" s="55">
        <f t="shared" si="11"/>
        <v>308.00000000000011</v>
      </c>
      <c r="AR71" s="38"/>
      <c r="AS71" s="38">
        <v>131</v>
      </c>
      <c r="AT71" s="26"/>
      <c r="AU71" s="49"/>
      <c r="AV71" s="136"/>
      <c r="AW71" s="137"/>
    </row>
    <row r="72" spans="1:49" ht="19.399999999999999" customHeight="1">
      <c r="A72" s="18" t="s">
        <v>134</v>
      </c>
      <c r="B72" s="18" t="s">
        <v>711</v>
      </c>
      <c r="C72" s="19" t="s">
        <v>175</v>
      </c>
      <c r="D72" s="19" t="s">
        <v>710</v>
      </c>
      <c r="E72" s="19" t="s">
        <v>727</v>
      </c>
      <c r="F72" s="58">
        <v>8</v>
      </c>
      <c r="G72" s="43">
        <v>22</v>
      </c>
      <c r="H72" s="44">
        <v>58.7</v>
      </c>
      <c r="I72" s="44" t="s">
        <v>38</v>
      </c>
      <c r="J72" s="43">
        <v>120</v>
      </c>
      <c r="K72" s="44">
        <v>10.5</v>
      </c>
      <c r="L72" s="44" t="s">
        <v>122</v>
      </c>
      <c r="M72" s="43" t="s">
        <v>96</v>
      </c>
      <c r="N72" s="45">
        <v>14</v>
      </c>
      <c r="O72" s="45">
        <v>2</v>
      </c>
      <c r="P72" s="45">
        <v>1</v>
      </c>
      <c r="Q72" s="45">
        <v>1</v>
      </c>
      <c r="R72" s="46">
        <v>4.05</v>
      </c>
      <c r="S72" s="46">
        <v>4.0999999999999996</v>
      </c>
      <c r="T72" s="46">
        <v>317</v>
      </c>
      <c r="U72" s="47">
        <v>2948.136</v>
      </c>
      <c r="V72" s="23">
        <v>24</v>
      </c>
      <c r="W72" s="38">
        <v>0</v>
      </c>
      <c r="X72" s="38">
        <v>0</v>
      </c>
      <c r="Y72" s="38">
        <v>24</v>
      </c>
      <c r="Z72" s="38">
        <v>0</v>
      </c>
      <c r="AA72" s="44">
        <v>0</v>
      </c>
      <c r="AB72" s="44">
        <f t="shared" ref="AB72" si="19">AA72/24</f>
        <v>0</v>
      </c>
      <c r="AC72" s="52" t="s">
        <v>119</v>
      </c>
      <c r="AD72" s="40">
        <v>166</v>
      </c>
      <c r="AE72" s="40"/>
      <c r="AF72" s="41">
        <v>0</v>
      </c>
      <c r="AG72" s="41">
        <v>0</v>
      </c>
      <c r="AH72" s="38">
        <v>0</v>
      </c>
      <c r="AI72" s="38">
        <v>0</v>
      </c>
      <c r="AJ72" s="38">
        <v>1.4</v>
      </c>
      <c r="AK72" s="56">
        <v>0</v>
      </c>
      <c r="AL72" s="24">
        <f t="shared" si="2"/>
        <v>1.4</v>
      </c>
      <c r="AM72" s="12"/>
      <c r="AN72" s="12"/>
      <c r="AO72" s="12"/>
      <c r="AP72" s="12"/>
      <c r="AQ72" s="55">
        <f t="shared" si="11"/>
        <v>306.60000000000014</v>
      </c>
      <c r="AR72" s="38"/>
      <c r="AS72" s="38">
        <v>124</v>
      </c>
      <c r="AT72" s="26"/>
      <c r="AU72" s="49"/>
      <c r="AV72" s="136" t="s">
        <v>726</v>
      </c>
      <c r="AW72" s="137"/>
    </row>
    <row r="73" spans="1:49" ht="19.399999999999999" customHeight="1">
      <c r="A73" s="18" t="s">
        <v>134</v>
      </c>
      <c r="B73" s="18" t="s">
        <v>711</v>
      </c>
      <c r="C73" s="19" t="s">
        <v>175</v>
      </c>
      <c r="D73" s="19" t="s">
        <v>710</v>
      </c>
      <c r="E73" s="19" t="s">
        <v>729</v>
      </c>
      <c r="F73" s="58">
        <v>8</v>
      </c>
      <c r="G73" s="43">
        <v>22</v>
      </c>
      <c r="H73" s="44">
        <v>58.7</v>
      </c>
      <c r="I73" s="44" t="s">
        <v>38</v>
      </c>
      <c r="J73" s="43">
        <v>120</v>
      </c>
      <c r="K73" s="44">
        <v>10.5</v>
      </c>
      <c r="L73" s="44" t="s">
        <v>122</v>
      </c>
      <c r="M73" s="43" t="s">
        <v>96</v>
      </c>
      <c r="N73" s="45">
        <v>14</v>
      </c>
      <c r="O73" s="45">
        <v>2</v>
      </c>
      <c r="P73" s="45">
        <v>1</v>
      </c>
      <c r="Q73" s="45">
        <v>1</v>
      </c>
      <c r="R73" s="46">
        <v>4.05</v>
      </c>
      <c r="S73" s="46">
        <v>4.0999999999999996</v>
      </c>
      <c r="T73" s="46">
        <v>317</v>
      </c>
      <c r="U73" s="47">
        <v>2948.136</v>
      </c>
      <c r="V73" s="23">
        <v>24</v>
      </c>
      <c r="W73" s="38">
        <v>0</v>
      </c>
      <c r="X73" s="38">
        <v>0</v>
      </c>
      <c r="Y73" s="38">
        <v>24</v>
      </c>
      <c r="Z73" s="38">
        <v>0</v>
      </c>
      <c r="AA73" s="44">
        <v>0</v>
      </c>
      <c r="AB73" s="44">
        <f t="shared" ref="AB73" si="20">AA73/24</f>
        <v>0</v>
      </c>
      <c r="AC73" s="52" t="s">
        <v>119</v>
      </c>
      <c r="AD73" s="40">
        <v>190</v>
      </c>
      <c r="AE73" s="40"/>
      <c r="AF73" s="41">
        <v>0</v>
      </c>
      <c r="AG73" s="41">
        <v>0</v>
      </c>
      <c r="AH73" s="38">
        <v>0</v>
      </c>
      <c r="AI73" s="38">
        <v>0</v>
      </c>
      <c r="AJ73" s="38">
        <v>1.6</v>
      </c>
      <c r="AK73" s="56">
        <v>0</v>
      </c>
      <c r="AL73" s="24">
        <f t="shared" si="2"/>
        <v>1.6</v>
      </c>
      <c r="AM73" s="12"/>
      <c r="AN73" s="12"/>
      <c r="AO73" s="12"/>
      <c r="AP73" s="12"/>
      <c r="AQ73" s="55">
        <f t="shared" si="11"/>
        <v>305.00000000000011</v>
      </c>
      <c r="AR73" s="38"/>
      <c r="AS73" s="38">
        <v>268</v>
      </c>
      <c r="AT73" s="26"/>
      <c r="AU73" s="49"/>
      <c r="AV73" s="136" t="s">
        <v>728</v>
      </c>
      <c r="AW73" s="137"/>
    </row>
    <row r="74" spans="1:49" ht="19.399999999999999" customHeight="1">
      <c r="A74" s="18" t="s">
        <v>134</v>
      </c>
      <c r="B74" s="18" t="s">
        <v>711</v>
      </c>
      <c r="C74" s="19" t="s">
        <v>175</v>
      </c>
      <c r="D74" s="19" t="s">
        <v>710</v>
      </c>
      <c r="E74" s="19" t="s">
        <v>730</v>
      </c>
      <c r="F74" s="58">
        <v>8</v>
      </c>
      <c r="G74" s="43">
        <v>22</v>
      </c>
      <c r="H74" s="44">
        <v>58.7</v>
      </c>
      <c r="I74" s="44" t="s">
        <v>38</v>
      </c>
      <c r="J74" s="43">
        <v>120</v>
      </c>
      <c r="K74" s="44">
        <v>10.5</v>
      </c>
      <c r="L74" s="44" t="s">
        <v>122</v>
      </c>
      <c r="M74" s="43" t="s">
        <v>96</v>
      </c>
      <c r="N74" s="45">
        <v>14</v>
      </c>
      <c r="O74" s="45">
        <v>2</v>
      </c>
      <c r="P74" s="45">
        <v>1</v>
      </c>
      <c r="Q74" s="45">
        <v>1</v>
      </c>
      <c r="R74" s="46">
        <v>4.05</v>
      </c>
      <c r="S74" s="46">
        <v>4.0999999999999996</v>
      </c>
      <c r="T74" s="46">
        <v>317</v>
      </c>
      <c r="U74" s="47">
        <v>2948.136</v>
      </c>
      <c r="V74" s="23">
        <v>24</v>
      </c>
      <c r="W74" s="38">
        <v>0</v>
      </c>
      <c r="X74" s="38">
        <v>0</v>
      </c>
      <c r="Y74" s="38">
        <v>24</v>
      </c>
      <c r="Z74" s="38">
        <v>0</v>
      </c>
      <c r="AA74" s="44">
        <v>0</v>
      </c>
      <c r="AB74" s="44">
        <f t="shared" ref="AB74" si="21">AA74/24</f>
        <v>0</v>
      </c>
      <c r="AC74" s="52" t="s">
        <v>119</v>
      </c>
      <c r="AD74" s="40">
        <v>211</v>
      </c>
      <c r="AE74" s="40"/>
      <c r="AF74" s="41">
        <v>0</v>
      </c>
      <c r="AG74" s="41">
        <v>0</v>
      </c>
      <c r="AH74" s="38">
        <v>0</v>
      </c>
      <c r="AI74" s="38">
        <v>0</v>
      </c>
      <c r="AJ74" s="38">
        <v>1.4</v>
      </c>
      <c r="AK74" s="56">
        <v>0</v>
      </c>
      <c r="AL74" s="24">
        <f t="shared" si="2"/>
        <v>1.4</v>
      </c>
      <c r="AM74" s="12"/>
      <c r="AN74" s="12"/>
      <c r="AO74" s="12"/>
      <c r="AP74" s="12"/>
      <c r="AQ74" s="55">
        <f t="shared" si="11"/>
        <v>303.60000000000014</v>
      </c>
      <c r="AR74" s="38"/>
      <c r="AS74" s="38">
        <v>265</v>
      </c>
      <c r="AT74" s="26"/>
      <c r="AU74" s="49"/>
      <c r="AV74" s="136"/>
      <c r="AW74" s="137"/>
    </row>
    <row r="75" spans="1:49" ht="19.399999999999999" customHeight="1">
      <c r="A75" s="18" t="s">
        <v>134</v>
      </c>
      <c r="B75" s="18" t="s">
        <v>711</v>
      </c>
      <c r="C75" s="19" t="s">
        <v>175</v>
      </c>
      <c r="D75" s="19" t="s">
        <v>710</v>
      </c>
      <c r="E75" s="19" t="s">
        <v>731</v>
      </c>
      <c r="F75" s="58">
        <v>8</v>
      </c>
      <c r="G75" s="43">
        <v>22</v>
      </c>
      <c r="H75" s="44">
        <v>58.7</v>
      </c>
      <c r="I75" s="44" t="s">
        <v>38</v>
      </c>
      <c r="J75" s="43">
        <v>120</v>
      </c>
      <c r="K75" s="44">
        <v>10.5</v>
      </c>
      <c r="L75" s="44" t="s">
        <v>122</v>
      </c>
      <c r="M75" s="43" t="s">
        <v>96</v>
      </c>
      <c r="N75" s="45">
        <v>14</v>
      </c>
      <c r="O75" s="45">
        <v>2</v>
      </c>
      <c r="P75" s="45">
        <v>1</v>
      </c>
      <c r="Q75" s="45">
        <v>1</v>
      </c>
      <c r="R75" s="46">
        <v>4.05</v>
      </c>
      <c r="S75" s="46">
        <v>4.0999999999999996</v>
      </c>
      <c r="T75" s="46">
        <v>317</v>
      </c>
      <c r="U75" s="47">
        <v>2948.136</v>
      </c>
      <c r="V75" s="23">
        <v>24</v>
      </c>
      <c r="W75" s="38">
        <v>0</v>
      </c>
      <c r="X75" s="38">
        <v>0</v>
      </c>
      <c r="Y75" s="38">
        <v>24</v>
      </c>
      <c r="Z75" s="38">
        <v>0</v>
      </c>
      <c r="AA75" s="44">
        <v>0</v>
      </c>
      <c r="AB75" s="44">
        <f t="shared" ref="AB75" si="22">AA75/24</f>
        <v>0</v>
      </c>
      <c r="AC75" s="52" t="s">
        <v>119</v>
      </c>
      <c r="AD75" s="40">
        <v>172</v>
      </c>
      <c r="AE75" s="40"/>
      <c r="AF75" s="41">
        <v>0</v>
      </c>
      <c r="AG75" s="41">
        <v>0</v>
      </c>
      <c r="AH75" s="38">
        <v>0</v>
      </c>
      <c r="AI75" s="38">
        <v>0</v>
      </c>
      <c r="AJ75" s="38">
        <v>1.5</v>
      </c>
      <c r="AK75" s="56">
        <v>0</v>
      </c>
      <c r="AL75" s="24">
        <f t="shared" si="2"/>
        <v>1.5</v>
      </c>
      <c r="AM75" s="12"/>
      <c r="AN75" s="12"/>
      <c r="AO75" s="12"/>
      <c r="AP75" s="12"/>
      <c r="AQ75" s="55">
        <f t="shared" si="11"/>
        <v>302.10000000000014</v>
      </c>
      <c r="AR75" s="38"/>
      <c r="AS75" s="38">
        <v>259</v>
      </c>
      <c r="AT75" s="26"/>
      <c r="AU75" s="49"/>
      <c r="AV75" s="136"/>
      <c r="AW75" s="137"/>
    </row>
    <row r="76" spans="1:49" ht="19.399999999999999" customHeight="1">
      <c r="A76" s="18" t="s">
        <v>134</v>
      </c>
      <c r="B76" s="18" t="s">
        <v>711</v>
      </c>
      <c r="C76" s="19" t="s">
        <v>175</v>
      </c>
      <c r="D76" s="19" t="s">
        <v>710</v>
      </c>
      <c r="E76" s="19" t="s">
        <v>732</v>
      </c>
      <c r="F76" s="58">
        <v>8</v>
      </c>
      <c r="G76" s="43">
        <v>22</v>
      </c>
      <c r="H76" s="44">
        <v>58.7</v>
      </c>
      <c r="I76" s="44" t="s">
        <v>38</v>
      </c>
      <c r="J76" s="43">
        <v>120</v>
      </c>
      <c r="K76" s="44">
        <v>10.5</v>
      </c>
      <c r="L76" s="44" t="s">
        <v>122</v>
      </c>
      <c r="M76" s="43" t="s">
        <v>96</v>
      </c>
      <c r="N76" s="45">
        <v>14</v>
      </c>
      <c r="O76" s="45">
        <v>2</v>
      </c>
      <c r="P76" s="45">
        <v>1</v>
      </c>
      <c r="Q76" s="45">
        <v>1</v>
      </c>
      <c r="R76" s="46">
        <v>4.05</v>
      </c>
      <c r="S76" s="46">
        <v>4.0999999999999996</v>
      </c>
      <c r="T76" s="46">
        <v>317</v>
      </c>
      <c r="U76" s="47">
        <v>2948.136</v>
      </c>
      <c r="V76" s="23">
        <v>24</v>
      </c>
      <c r="W76" s="38">
        <v>0</v>
      </c>
      <c r="X76" s="38">
        <v>0</v>
      </c>
      <c r="Y76" s="38">
        <v>24</v>
      </c>
      <c r="Z76" s="38">
        <v>0</v>
      </c>
      <c r="AA76" s="44">
        <v>0</v>
      </c>
      <c r="AB76" s="44">
        <f t="shared" ref="AB76" si="23">AA76/24</f>
        <v>0</v>
      </c>
      <c r="AC76" s="52" t="s">
        <v>119</v>
      </c>
      <c r="AD76" s="40">
        <v>217</v>
      </c>
      <c r="AE76" s="40"/>
      <c r="AF76" s="41">
        <v>0</v>
      </c>
      <c r="AG76" s="41">
        <v>0</v>
      </c>
      <c r="AH76" s="38">
        <v>0</v>
      </c>
      <c r="AI76" s="38">
        <v>0</v>
      </c>
      <c r="AJ76" s="38">
        <v>1.4</v>
      </c>
      <c r="AK76" s="56">
        <v>0</v>
      </c>
      <c r="AL76" s="24">
        <f t="shared" si="2"/>
        <v>1.4</v>
      </c>
      <c r="AM76" s="12"/>
      <c r="AN76" s="12"/>
      <c r="AO76" s="12"/>
      <c r="AP76" s="12"/>
      <c r="AQ76" s="55">
        <f t="shared" si="11"/>
        <v>300.70000000000016</v>
      </c>
      <c r="AR76" s="38"/>
      <c r="AS76" s="38">
        <v>255</v>
      </c>
      <c r="AT76" s="26"/>
      <c r="AU76" s="49"/>
      <c r="AV76" s="136"/>
      <c r="AW76" s="137"/>
    </row>
    <row r="77" spans="1:49" ht="19.399999999999999" customHeight="1">
      <c r="A77" s="18" t="s">
        <v>134</v>
      </c>
      <c r="B77" s="18" t="s">
        <v>711</v>
      </c>
      <c r="C77" s="19" t="s">
        <v>175</v>
      </c>
      <c r="D77" s="19" t="s">
        <v>710</v>
      </c>
      <c r="E77" s="19" t="s">
        <v>733</v>
      </c>
      <c r="F77" s="58">
        <v>8</v>
      </c>
      <c r="G77" s="43">
        <v>22</v>
      </c>
      <c r="H77" s="44">
        <v>58.7</v>
      </c>
      <c r="I77" s="44" t="s">
        <v>38</v>
      </c>
      <c r="J77" s="43">
        <v>120</v>
      </c>
      <c r="K77" s="44">
        <v>10.5</v>
      </c>
      <c r="L77" s="44" t="s">
        <v>122</v>
      </c>
      <c r="M77" s="43" t="s">
        <v>96</v>
      </c>
      <c r="N77" s="45">
        <v>14</v>
      </c>
      <c r="O77" s="45">
        <v>2</v>
      </c>
      <c r="P77" s="45">
        <v>1</v>
      </c>
      <c r="Q77" s="45">
        <v>1</v>
      </c>
      <c r="R77" s="46">
        <v>4.05</v>
      </c>
      <c r="S77" s="46">
        <v>4.0999999999999996</v>
      </c>
      <c r="T77" s="46">
        <v>317</v>
      </c>
      <c r="U77" s="47">
        <v>2948.136</v>
      </c>
      <c r="V77" s="23">
        <v>24</v>
      </c>
      <c r="W77" s="38">
        <v>0</v>
      </c>
      <c r="X77" s="38">
        <v>0</v>
      </c>
      <c r="Y77" s="38">
        <v>24</v>
      </c>
      <c r="Z77" s="38">
        <v>0</v>
      </c>
      <c r="AA77" s="44">
        <v>0</v>
      </c>
      <c r="AB77" s="44">
        <f t="shared" ref="AB77" si="24">AA77/24</f>
        <v>0</v>
      </c>
      <c r="AC77" s="52" t="s">
        <v>119</v>
      </c>
      <c r="AD77" s="40">
        <v>213</v>
      </c>
      <c r="AE77" s="40"/>
      <c r="AF77" s="41">
        <v>0</v>
      </c>
      <c r="AG77" s="41">
        <v>0</v>
      </c>
      <c r="AH77" s="38">
        <v>0</v>
      </c>
      <c r="AI77" s="38">
        <v>0</v>
      </c>
      <c r="AJ77" s="38">
        <v>1.4</v>
      </c>
      <c r="AK77" s="56">
        <v>0</v>
      </c>
      <c r="AL77" s="24">
        <f t="shared" si="2"/>
        <v>1.4</v>
      </c>
      <c r="AM77" s="12"/>
      <c r="AN77" s="12"/>
      <c r="AO77" s="12"/>
      <c r="AP77" s="12"/>
      <c r="AQ77" s="55">
        <f t="shared" si="11"/>
        <v>299.30000000000018</v>
      </c>
      <c r="AR77" s="38"/>
      <c r="AS77" s="38">
        <v>249</v>
      </c>
      <c r="AT77" s="26"/>
      <c r="AU77" s="49"/>
      <c r="AV77" s="136"/>
      <c r="AW77" s="137"/>
    </row>
    <row r="78" spans="1:49" ht="19.399999999999999" customHeight="1">
      <c r="A78" s="18" t="s">
        <v>134</v>
      </c>
      <c r="B78" s="18" t="s">
        <v>711</v>
      </c>
      <c r="C78" s="19" t="s">
        <v>175</v>
      </c>
      <c r="D78" s="19" t="s">
        <v>710</v>
      </c>
      <c r="E78" s="19" t="s">
        <v>734</v>
      </c>
      <c r="F78" s="58">
        <v>8</v>
      </c>
      <c r="G78" s="43">
        <v>22</v>
      </c>
      <c r="H78" s="44">
        <v>58.7</v>
      </c>
      <c r="I78" s="44" t="s">
        <v>38</v>
      </c>
      <c r="J78" s="43">
        <v>120</v>
      </c>
      <c r="K78" s="44">
        <v>10.5</v>
      </c>
      <c r="L78" s="44" t="s">
        <v>122</v>
      </c>
      <c r="M78" s="43" t="s">
        <v>96</v>
      </c>
      <c r="N78" s="45">
        <v>14</v>
      </c>
      <c r="O78" s="45">
        <v>2</v>
      </c>
      <c r="P78" s="45">
        <v>1</v>
      </c>
      <c r="Q78" s="45">
        <v>1</v>
      </c>
      <c r="R78" s="46">
        <v>4.05</v>
      </c>
      <c r="S78" s="46">
        <v>4.0999999999999996</v>
      </c>
      <c r="T78" s="46">
        <v>317</v>
      </c>
      <c r="U78" s="47">
        <v>2948.136</v>
      </c>
      <c r="V78" s="23">
        <v>24</v>
      </c>
      <c r="W78" s="38">
        <v>0</v>
      </c>
      <c r="X78" s="38">
        <v>0</v>
      </c>
      <c r="Y78" s="38">
        <v>24</v>
      </c>
      <c r="Z78" s="38">
        <v>0</v>
      </c>
      <c r="AA78" s="44">
        <v>0</v>
      </c>
      <c r="AB78" s="44">
        <f t="shared" ref="AB78" si="25">AA78/24</f>
        <v>0</v>
      </c>
      <c r="AC78" s="52" t="s">
        <v>119</v>
      </c>
      <c r="AD78" s="40">
        <v>217</v>
      </c>
      <c r="AE78" s="40"/>
      <c r="AF78" s="41">
        <v>0</v>
      </c>
      <c r="AG78" s="40">
        <v>0</v>
      </c>
      <c r="AH78" s="38">
        <v>0</v>
      </c>
      <c r="AI78" s="38">
        <v>0</v>
      </c>
      <c r="AJ78" s="38">
        <v>1.3</v>
      </c>
      <c r="AK78" s="38">
        <v>0</v>
      </c>
      <c r="AL78" s="24">
        <f t="shared" si="2"/>
        <v>1.3</v>
      </c>
      <c r="AM78" s="38"/>
      <c r="AN78" s="38"/>
      <c r="AO78" s="38"/>
      <c r="AP78" s="38"/>
      <c r="AQ78" s="55">
        <f t="shared" si="11"/>
        <v>298.00000000000017</v>
      </c>
      <c r="AR78" s="38"/>
      <c r="AS78" s="38">
        <v>244</v>
      </c>
      <c r="AT78" s="26"/>
      <c r="AU78" s="49"/>
      <c r="AV78" s="139"/>
      <c r="AW78" s="141"/>
    </row>
    <row r="79" spans="1:49" ht="19.399999999999999" customHeight="1">
      <c r="A79" s="18" t="s">
        <v>134</v>
      </c>
      <c r="B79" s="18" t="s">
        <v>711</v>
      </c>
      <c r="C79" s="19" t="s">
        <v>175</v>
      </c>
      <c r="D79" s="19" t="s">
        <v>710</v>
      </c>
      <c r="E79" s="19" t="s">
        <v>735</v>
      </c>
      <c r="F79" s="58">
        <v>8</v>
      </c>
      <c r="G79" s="43">
        <v>22</v>
      </c>
      <c r="H79" s="44">
        <v>58.7</v>
      </c>
      <c r="I79" s="44" t="s">
        <v>38</v>
      </c>
      <c r="J79" s="43">
        <v>120</v>
      </c>
      <c r="K79" s="44">
        <v>10.5</v>
      </c>
      <c r="L79" s="44" t="s">
        <v>122</v>
      </c>
      <c r="M79" s="43" t="s">
        <v>96</v>
      </c>
      <c r="N79" s="45">
        <v>14</v>
      </c>
      <c r="O79" s="45">
        <v>2</v>
      </c>
      <c r="P79" s="45">
        <v>1</v>
      </c>
      <c r="Q79" s="45">
        <v>1</v>
      </c>
      <c r="R79" s="46">
        <v>4.05</v>
      </c>
      <c r="S79" s="46">
        <v>4.0999999999999996</v>
      </c>
      <c r="T79" s="46">
        <v>317</v>
      </c>
      <c r="U79" s="47">
        <v>2948.136</v>
      </c>
      <c r="V79" s="23">
        <v>24</v>
      </c>
      <c r="W79" s="38">
        <v>0</v>
      </c>
      <c r="X79" s="38">
        <v>0</v>
      </c>
      <c r="Y79" s="38">
        <v>24</v>
      </c>
      <c r="Z79" s="38">
        <v>0</v>
      </c>
      <c r="AA79" s="44">
        <v>0</v>
      </c>
      <c r="AB79" s="44">
        <f t="shared" ref="AB79" si="26">AA79/24</f>
        <v>0</v>
      </c>
      <c r="AC79" s="52" t="s">
        <v>119</v>
      </c>
      <c r="AD79" s="40">
        <v>203</v>
      </c>
      <c r="AE79" s="40"/>
      <c r="AF79" s="41">
        <v>0</v>
      </c>
      <c r="AG79" s="41">
        <v>0</v>
      </c>
      <c r="AH79" s="38">
        <v>0</v>
      </c>
      <c r="AI79" s="38">
        <v>0</v>
      </c>
      <c r="AJ79" s="38">
        <v>1.4</v>
      </c>
      <c r="AK79" s="38">
        <v>0</v>
      </c>
      <c r="AL79" s="24">
        <f t="shared" si="2"/>
        <v>1.4</v>
      </c>
      <c r="AM79" s="12"/>
      <c r="AN79" s="12"/>
      <c r="AO79" s="12"/>
      <c r="AP79" s="12"/>
      <c r="AQ79" s="55">
        <f t="shared" si="11"/>
        <v>296.60000000000019</v>
      </c>
      <c r="AR79" s="38"/>
      <c r="AS79" s="38">
        <v>238</v>
      </c>
      <c r="AT79" s="26"/>
      <c r="AU79" s="49"/>
      <c r="AV79" s="139"/>
      <c r="AW79" s="141"/>
    </row>
    <row r="80" spans="1:49" ht="19.399999999999999" customHeight="1">
      <c r="A80" s="18" t="s">
        <v>134</v>
      </c>
      <c r="B80" s="18" t="s">
        <v>711</v>
      </c>
      <c r="C80" s="19" t="s">
        <v>175</v>
      </c>
      <c r="D80" s="19" t="s">
        <v>710</v>
      </c>
      <c r="E80" s="19" t="s">
        <v>736</v>
      </c>
      <c r="F80" s="58">
        <v>8</v>
      </c>
      <c r="G80" s="43">
        <v>22</v>
      </c>
      <c r="H80" s="44">
        <v>58.7</v>
      </c>
      <c r="I80" s="44" t="s">
        <v>38</v>
      </c>
      <c r="J80" s="43">
        <v>120</v>
      </c>
      <c r="K80" s="44">
        <v>10.5</v>
      </c>
      <c r="L80" s="44" t="s">
        <v>122</v>
      </c>
      <c r="M80" s="43" t="s">
        <v>96</v>
      </c>
      <c r="N80" s="45">
        <v>14</v>
      </c>
      <c r="O80" s="45">
        <v>2</v>
      </c>
      <c r="P80" s="45">
        <v>1</v>
      </c>
      <c r="Q80" s="45">
        <v>1</v>
      </c>
      <c r="R80" s="46">
        <v>4.05</v>
      </c>
      <c r="S80" s="46">
        <v>4.0999999999999996</v>
      </c>
      <c r="T80" s="46">
        <v>317</v>
      </c>
      <c r="U80" s="47">
        <v>2948.136</v>
      </c>
      <c r="V80" s="23">
        <v>24</v>
      </c>
      <c r="W80" s="38">
        <v>0</v>
      </c>
      <c r="X80" s="38">
        <v>0</v>
      </c>
      <c r="Y80" s="38">
        <v>24</v>
      </c>
      <c r="Z80" s="38">
        <v>0</v>
      </c>
      <c r="AA80" s="44">
        <v>0</v>
      </c>
      <c r="AB80" s="44">
        <f t="shared" ref="AB80" si="27">AA80/24</f>
        <v>0</v>
      </c>
      <c r="AC80" s="52" t="s">
        <v>119</v>
      </c>
      <c r="AD80" s="40">
        <v>177</v>
      </c>
      <c r="AE80" s="40"/>
      <c r="AF80" s="41">
        <v>0</v>
      </c>
      <c r="AG80" s="40">
        <v>0</v>
      </c>
      <c r="AH80" s="38">
        <v>0</v>
      </c>
      <c r="AI80" s="38">
        <v>0</v>
      </c>
      <c r="AJ80" s="38">
        <v>1.3</v>
      </c>
      <c r="AK80" s="38">
        <v>0</v>
      </c>
      <c r="AL80" s="24">
        <f t="shared" si="2"/>
        <v>1.3</v>
      </c>
      <c r="AM80" s="12"/>
      <c r="AN80" s="12"/>
      <c r="AO80" s="12"/>
      <c r="AP80" s="12"/>
      <c r="AQ80" s="55">
        <f t="shared" si="11"/>
        <v>295.30000000000018</v>
      </c>
      <c r="AR80" s="38"/>
      <c r="AS80" s="38">
        <v>234</v>
      </c>
      <c r="AT80" s="26"/>
      <c r="AU80" s="49"/>
      <c r="AV80" s="139"/>
      <c r="AW80" s="141"/>
    </row>
    <row r="81" spans="1:49" ht="19.399999999999999" customHeight="1">
      <c r="A81" s="18" t="s">
        <v>134</v>
      </c>
      <c r="B81" s="18" t="s">
        <v>711</v>
      </c>
      <c r="C81" s="19" t="s">
        <v>175</v>
      </c>
      <c r="D81" s="19" t="s">
        <v>710</v>
      </c>
      <c r="E81" s="19" t="s">
        <v>737</v>
      </c>
      <c r="F81" s="58">
        <v>8</v>
      </c>
      <c r="G81" s="43">
        <v>22</v>
      </c>
      <c r="H81" s="44">
        <v>58.7</v>
      </c>
      <c r="I81" s="44" t="s">
        <v>38</v>
      </c>
      <c r="J81" s="43">
        <v>120</v>
      </c>
      <c r="K81" s="44">
        <v>10.5</v>
      </c>
      <c r="L81" s="44" t="s">
        <v>122</v>
      </c>
      <c r="M81" s="43" t="s">
        <v>96</v>
      </c>
      <c r="N81" s="45">
        <v>14</v>
      </c>
      <c r="O81" s="45">
        <v>2</v>
      </c>
      <c r="P81" s="45">
        <v>1</v>
      </c>
      <c r="Q81" s="45">
        <v>1</v>
      </c>
      <c r="R81" s="46">
        <v>4.05</v>
      </c>
      <c r="S81" s="46">
        <v>4.0999999999999996</v>
      </c>
      <c r="T81" s="46">
        <v>317</v>
      </c>
      <c r="U81" s="47">
        <v>2948.136</v>
      </c>
      <c r="V81" s="23">
        <v>24</v>
      </c>
      <c r="W81" s="38">
        <v>0</v>
      </c>
      <c r="X81" s="38">
        <v>0</v>
      </c>
      <c r="Y81" s="38">
        <v>24</v>
      </c>
      <c r="Z81" s="38">
        <v>0</v>
      </c>
      <c r="AA81" s="44">
        <v>0</v>
      </c>
      <c r="AB81" s="44">
        <f t="shared" ref="AB81" si="28">AA81/24</f>
        <v>0</v>
      </c>
      <c r="AC81" s="52" t="s">
        <v>119</v>
      </c>
      <c r="AD81" s="40">
        <v>167</v>
      </c>
      <c r="AE81" s="40"/>
      <c r="AF81" s="41">
        <v>0</v>
      </c>
      <c r="AG81" s="40">
        <v>0</v>
      </c>
      <c r="AH81" s="38">
        <v>0</v>
      </c>
      <c r="AI81" s="38">
        <v>0</v>
      </c>
      <c r="AJ81" s="38">
        <v>1.4</v>
      </c>
      <c r="AK81" s="38">
        <v>0</v>
      </c>
      <c r="AL81" s="24">
        <f t="shared" si="2"/>
        <v>1.4</v>
      </c>
      <c r="AM81" s="12"/>
      <c r="AN81" s="12"/>
      <c r="AO81" s="12"/>
      <c r="AP81" s="12"/>
      <c r="AQ81" s="55">
        <f t="shared" si="11"/>
        <v>293.9000000000002</v>
      </c>
      <c r="AR81" s="38"/>
      <c r="AS81" s="38">
        <v>229</v>
      </c>
      <c r="AT81" s="26"/>
      <c r="AU81" s="49"/>
      <c r="AV81" s="139"/>
      <c r="AW81" s="141"/>
    </row>
    <row r="82" spans="1:49" ht="19.399999999999999" customHeight="1">
      <c r="A82" s="18" t="s">
        <v>134</v>
      </c>
      <c r="B82" s="18" t="s">
        <v>711</v>
      </c>
      <c r="C82" s="19" t="s">
        <v>175</v>
      </c>
      <c r="D82" s="19" t="s">
        <v>710</v>
      </c>
      <c r="E82" s="19" t="s">
        <v>738</v>
      </c>
      <c r="F82" s="58">
        <v>8</v>
      </c>
      <c r="G82" s="43">
        <v>22</v>
      </c>
      <c r="H82" s="44">
        <v>58.7</v>
      </c>
      <c r="I82" s="44" t="s">
        <v>38</v>
      </c>
      <c r="J82" s="43">
        <v>120</v>
      </c>
      <c r="K82" s="44">
        <v>10.5</v>
      </c>
      <c r="L82" s="44" t="s">
        <v>122</v>
      </c>
      <c r="M82" s="43" t="s">
        <v>96</v>
      </c>
      <c r="N82" s="45">
        <v>14</v>
      </c>
      <c r="O82" s="45">
        <v>2</v>
      </c>
      <c r="P82" s="45">
        <v>1</v>
      </c>
      <c r="Q82" s="45">
        <v>1</v>
      </c>
      <c r="R82" s="46">
        <v>4.05</v>
      </c>
      <c r="S82" s="46">
        <v>4.18</v>
      </c>
      <c r="T82" s="46">
        <v>345</v>
      </c>
      <c r="U82" s="47">
        <v>3011</v>
      </c>
      <c r="V82" s="23">
        <v>24</v>
      </c>
      <c r="W82" s="38">
        <v>0</v>
      </c>
      <c r="X82" s="38">
        <v>0</v>
      </c>
      <c r="Y82" s="38">
        <v>24</v>
      </c>
      <c r="Z82" s="38">
        <v>0</v>
      </c>
      <c r="AA82" s="44">
        <v>0</v>
      </c>
      <c r="AB82" s="44">
        <f t="shared" ref="AB82" si="29">AA82/24</f>
        <v>0</v>
      </c>
      <c r="AC82" s="52" t="s">
        <v>119</v>
      </c>
      <c r="AD82" s="40">
        <v>221</v>
      </c>
      <c r="AE82" s="40"/>
      <c r="AF82" s="41">
        <v>0</v>
      </c>
      <c r="AG82" s="40">
        <v>0</v>
      </c>
      <c r="AH82" s="38">
        <v>0</v>
      </c>
      <c r="AI82" s="38">
        <v>0</v>
      </c>
      <c r="AJ82" s="38">
        <v>1.4</v>
      </c>
      <c r="AK82" s="38">
        <v>0</v>
      </c>
      <c r="AL82" s="24">
        <f t="shared" si="2"/>
        <v>1.4</v>
      </c>
      <c r="AM82" s="12"/>
      <c r="AN82" s="12"/>
      <c r="AO82" s="12"/>
      <c r="AP82" s="12"/>
      <c r="AQ82" s="55">
        <f t="shared" si="11"/>
        <v>292.50000000000023</v>
      </c>
      <c r="AR82" s="38"/>
      <c r="AS82" s="38">
        <v>225</v>
      </c>
      <c r="AT82" s="26"/>
      <c r="AU82" s="49"/>
      <c r="AV82" s="139"/>
      <c r="AW82" s="141"/>
    </row>
    <row r="83" spans="1:49" ht="19.399999999999999" customHeight="1">
      <c r="A83" s="18" t="s">
        <v>134</v>
      </c>
      <c r="B83" s="18" t="s">
        <v>743</v>
      </c>
      <c r="C83" s="19" t="s">
        <v>710</v>
      </c>
      <c r="D83" s="19" t="s">
        <v>710</v>
      </c>
      <c r="E83" s="19" t="s">
        <v>742</v>
      </c>
      <c r="F83" s="58">
        <v>8</v>
      </c>
      <c r="G83" s="43">
        <v>22</v>
      </c>
      <c r="H83" s="44">
        <v>58.4</v>
      </c>
      <c r="I83" s="44" t="s">
        <v>38</v>
      </c>
      <c r="J83" s="43">
        <v>120</v>
      </c>
      <c r="K83" s="44">
        <v>10.3</v>
      </c>
      <c r="L83" s="44" t="s">
        <v>122</v>
      </c>
      <c r="M83" s="43" t="s">
        <v>96</v>
      </c>
      <c r="N83" s="45">
        <v>14</v>
      </c>
      <c r="O83" s="45">
        <v>2</v>
      </c>
      <c r="P83" s="45">
        <v>1</v>
      </c>
      <c r="Q83" s="45">
        <v>1</v>
      </c>
      <c r="R83" s="46">
        <v>4.05</v>
      </c>
      <c r="S83" s="46">
        <v>4.18</v>
      </c>
      <c r="T83" s="46">
        <v>345</v>
      </c>
      <c r="U83" s="47">
        <v>3011</v>
      </c>
      <c r="V83" s="23">
        <v>24</v>
      </c>
      <c r="W83" s="38">
        <v>0</v>
      </c>
      <c r="X83" s="38">
        <v>1.2</v>
      </c>
      <c r="Y83" s="38">
        <v>22.8</v>
      </c>
      <c r="Z83" s="38">
        <v>0</v>
      </c>
      <c r="AA83" s="44">
        <v>4.8</v>
      </c>
      <c r="AB83" s="44">
        <f t="shared" ref="AB83" si="30">AA83/24</f>
        <v>0.19999999999999998</v>
      </c>
      <c r="AC83" s="52" t="s">
        <v>173</v>
      </c>
      <c r="AD83" s="40" t="s">
        <v>739</v>
      </c>
      <c r="AE83" s="40"/>
      <c r="AF83" s="41" t="s">
        <v>740</v>
      </c>
      <c r="AG83" s="40" t="s">
        <v>741</v>
      </c>
      <c r="AH83" s="38">
        <v>0</v>
      </c>
      <c r="AI83" s="38">
        <v>0.3</v>
      </c>
      <c r="AJ83" s="38">
        <v>1.5</v>
      </c>
      <c r="AK83" s="38">
        <v>0</v>
      </c>
      <c r="AL83" s="24">
        <f t="shared" si="2"/>
        <v>1.8</v>
      </c>
      <c r="AM83" s="12"/>
      <c r="AN83" s="12"/>
      <c r="AO83" s="12"/>
      <c r="AP83" s="12"/>
      <c r="AQ83" s="55">
        <f t="shared" si="11"/>
        <v>290.70000000000022</v>
      </c>
      <c r="AR83" s="38"/>
      <c r="AS83" s="38">
        <v>221</v>
      </c>
      <c r="AT83" s="26"/>
      <c r="AU83" s="49"/>
      <c r="AV83" s="139"/>
      <c r="AW83" s="141"/>
    </row>
    <row r="84" spans="1:49" ht="19.399999999999999" customHeight="1">
      <c r="A84" s="18" t="s">
        <v>134</v>
      </c>
      <c r="B84" s="18" t="s">
        <v>743</v>
      </c>
      <c r="C84" s="19" t="s">
        <v>710</v>
      </c>
      <c r="D84" s="19" t="s">
        <v>710</v>
      </c>
      <c r="E84" s="19" t="s">
        <v>744</v>
      </c>
      <c r="F84" s="58">
        <v>8</v>
      </c>
      <c r="G84" s="43">
        <v>22</v>
      </c>
      <c r="H84" s="44">
        <v>58.6</v>
      </c>
      <c r="I84" s="44" t="s">
        <v>38</v>
      </c>
      <c r="J84" s="43">
        <v>120</v>
      </c>
      <c r="K84" s="44">
        <v>10.5</v>
      </c>
      <c r="L84" s="44" t="s">
        <v>122</v>
      </c>
      <c r="M84" s="43" t="s">
        <v>96</v>
      </c>
      <c r="N84" s="45">
        <v>14</v>
      </c>
      <c r="O84" s="45">
        <v>2</v>
      </c>
      <c r="P84" s="45">
        <v>1</v>
      </c>
      <c r="Q84" s="45">
        <v>1</v>
      </c>
      <c r="R84" s="46">
        <v>4.05</v>
      </c>
      <c r="S84" s="46">
        <v>4.18</v>
      </c>
      <c r="T84" s="46">
        <v>345</v>
      </c>
      <c r="U84" s="47">
        <v>3011</v>
      </c>
      <c r="V84" s="23">
        <v>24</v>
      </c>
      <c r="W84" s="38">
        <v>0</v>
      </c>
      <c r="X84" s="38">
        <v>0.6</v>
      </c>
      <c r="Y84" s="38">
        <v>23.4</v>
      </c>
      <c r="Z84" s="38">
        <v>0</v>
      </c>
      <c r="AA84" s="44">
        <v>0.2</v>
      </c>
      <c r="AB84" s="44">
        <f t="shared" ref="AB84" si="31">AA84/24</f>
        <v>8.3333333333333332E-3</v>
      </c>
      <c r="AC84" s="52" t="s">
        <v>113</v>
      </c>
      <c r="AD84" s="40">
        <v>232</v>
      </c>
      <c r="AE84" s="40"/>
      <c r="AF84" s="41">
        <v>0</v>
      </c>
      <c r="AG84" s="40">
        <v>0</v>
      </c>
      <c r="AH84" s="38">
        <v>0</v>
      </c>
      <c r="AI84" s="38">
        <v>0.2</v>
      </c>
      <c r="AJ84" s="38">
        <v>1.3</v>
      </c>
      <c r="AK84" s="38">
        <v>0</v>
      </c>
      <c r="AL84" s="24">
        <f t="shared" si="2"/>
        <v>1.5</v>
      </c>
      <c r="AM84" s="12"/>
      <c r="AN84" s="12"/>
      <c r="AO84" s="12"/>
      <c r="AP84" s="12"/>
      <c r="AQ84" s="55">
        <f t="shared" si="11"/>
        <v>289.20000000000022</v>
      </c>
      <c r="AR84" s="38"/>
      <c r="AS84" s="38">
        <v>213</v>
      </c>
      <c r="AT84" s="26"/>
      <c r="AU84" s="49"/>
      <c r="AV84" s="139"/>
      <c r="AW84" s="141"/>
    </row>
    <row r="85" spans="1:49" ht="19.399999999999999" customHeight="1">
      <c r="A85" s="18" t="s">
        <v>134</v>
      </c>
      <c r="B85" s="18" t="s">
        <v>743</v>
      </c>
      <c r="C85" s="19" t="s">
        <v>710</v>
      </c>
      <c r="D85" s="19" t="s">
        <v>710</v>
      </c>
      <c r="E85" s="19" t="s">
        <v>745</v>
      </c>
      <c r="F85" s="58">
        <v>8</v>
      </c>
      <c r="G85" s="43">
        <v>22</v>
      </c>
      <c r="H85" s="44">
        <v>58.6</v>
      </c>
      <c r="I85" s="44" t="s">
        <v>38</v>
      </c>
      <c r="J85" s="43">
        <v>120</v>
      </c>
      <c r="K85" s="44">
        <v>10.5</v>
      </c>
      <c r="L85" s="44" t="s">
        <v>122</v>
      </c>
      <c r="M85" s="43" t="s">
        <v>96</v>
      </c>
      <c r="N85" s="45">
        <v>14</v>
      </c>
      <c r="O85" s="45">
        <v>2</v>
      </c>
      <c r="P85" s="45">
        <v>1</v>
      </c>
      <c r="Q85" s="45">
        <v>1</v>
      </c>
      <c r="R85" s="46">
        <v>4.05</v>
      </c>
      <c r="S85" s="46">
        <v>4.18</v>
      </c>
      <c r="T85" s="46">
        <v>345</v>
      </c>
      <c r="U85" s="47">
        <v>3011</v>
      </c>
      <c r="V85" s="23">
        <v>24</v>
      </c>
      <c r="W85" s="38">
        <v>0</v>
      </c>
      <c r="X85" s="38">
        <v>0</v>
      </c>
      <c r="Y85" s="38">
        <v>24</v>
      </c>
      <c r="Z85" s="38">
        <v>0</v>
      </c>
      <c r="AA85" s="44">
        <v>0</v>
      </c>
      <c r="AB85" s="44">
        <f t="shared" ref="AB85" si="32">AA85/24</f>
        <v>0</v>
      </c>
      <c r="AC85" s="52" t="s">
        <v>113</v>
      </c>
      <c r="AD85" s="40">
        <v>219</v>
      </c>
      <c r="AE85" s="40"/>
      <c r="AF85" s="40">
        <v>0</v>
      </c>
      <c r="AG85" s="41">
        <v>0</v>
      </c>
      <c r="AH85" s="38">
        <v>0</v>
      </c>
      <c r="AI85" s="38">
        <v>0</v>
      </c>
      <c r="AJ85" s="38">
        <v>1.5</v>
      </c>
      <c r="AK85" s="38">
        <v>0</v>
      </c>
      <c r="AL85" s="24">
        <f t="shared" si="2"/>
        <v>1.5</v>
      </c>
      <c r="AM85" s="12"/>
      <c r="AN85" s="12"/>
      <c r="AO85" s="12"/>
      <c r="AP85" s="12"/>
      <c r="AQ85" s="55">
        <f t="shared" si="11"/>
        <v>287.70000000000022</v>
      </c>
      <c r="AR85" s="38"/>
      <c r="AS85" s="38">
        <v>209</v>
      </c>
      <c r="AT85" s="26"/>
      <c r="AU85" s="49"/>
      <c r="AV85" s="139"/>
      <c r="AW85" s="141"/>
    </row>
    <row r="86" spans="1:49" ht="19.399999999999999" customHeight="1">
      <c r="A86" s="18" t="s">
        <v>134</v>
      </c>
      <c r="B86" s="18" t="s">
        <v>743</v>
      </c>
      <c r="C86" s="19" t="s">
        <v>710</v>
      </c>
      <c r="D86" s="19" t="s">
        <v>710</v>
      </c>
      <c r="E86" s="19" t="s">
        <v>747</v>
      </c>
      <c r="F86" s="58">
        <v>8</v>
      </c>
      <c r="G86" s="43">
        <v>22</v>
      </c>
      <c r="H86" s="44">
        <v>58.6</v>
      </c>
      <c r="I86" s="44" t="s">
        <v>38</v>
      </c>
      <c r="J86" s="43">
        <v>120</v>
      </c>
      <c r="K86" s="44">
        <v>10.5</v>
      </c>
      <c r="L86" s="44" t="s">
        <v>122</v>
      </c>
      <c r="M86" s="43" t="s">
        <v>96</v>
      </c>
      <c r="N86" s="45">
        <v>14</v>
      </c>
      <c r="O86" s="45">
        <v>2</v>
      </c>
      <c r="P86" s="45">
        <v>1</v>
      </c>
      <c r="Q86" s="45">
        <v>1</v>
      </c>
      <c r="R86" s="46">
        <v>4.05</v>
      </c>
      <c r="S86" s="46">
        <v>4.18</v>
      </c>
      <c r="T86" s="46">
        <v>345</v>
      </c>
      <c r="U86" s="47">
        <v>3011</v>
      </c>
      <c r="V86" s="23">
        <v>24</v>
      </c>
      <c r="W86" s="38">
        <v>0</v>
      </c>
      <c r="X86" s="38">
        <v>0</v>
      </c>
      <c r="Y86" s="38">
        <v>24</v>
      </c>
      <c r="Z86" s="38">
        <v>0</v>
      </c>
      <c r="AA86" s="44">
        <v>0</v>
      </c>
      <c r="AB86" s="44">
        <f t="shared" ref="AB86" si="33">AA86/24</f>
        <v>0</v>
      </c>
      <c r="AC86" s="52" t="s">
        <v>113</v>
      </c>
      <c r="AD86" s="40">
        <v>182</v>
      </c>
      <c r="AE86" s="40"/>
      <c r="AF86" s="40">
        <v>0</v>
      </c>
      <c r="AG86" s="41">
        <v>0</v>
      </c>
      <c r="AH86" s="38">
        <v>0</v>
      </c>
      <c r="AI86" s="38">
        <v>0</v>
      </c>
      <c r="AJ86" s="38">
        <v>1.5</v>
      </c>
      <c r="AK86" s="38">
        <v>0</v>
      </c>
      <c r="AL86" s="24">
        <f t="shared" si="2"/>
        <v>1.5</v>
      </c>
      <c r="AM86" s="12"/>
      <c r="AN86" s="12"/>
      <c r="AO86" s="12"/>
      <c r="AP86" s="12"/>
      <c r="AQ86" s="55">
        <f t="shared" si="11"/>
        <v>286.20000000000022</v>
      </c>
      <c r="AR86" s="38"/>
      <c r="AS86" s="38">
        <v>207</v>
      </c>
      <c r="AT86" s="26"/>
      <c r="AU86" s="49"/>
      <c r="AV86" s="139" t="s">
        <v>746</v>
      </c>
      <c r="AW86" s="141"/>
    </row>
    <row r="87" spans="1:49" ht="19.399999999999999" customHeight="1">
      <c r="A87" s="18" t="s">
        <v>134</v>
      </c>
      <c r="B87" s="18" t="s">
        <v>743</v>
      </c>
      <c r="C87" s="19" t="s">
        <v>710</v>
      </c>
      <c r="D87" s="19" t="s">
        <v>710</v>
      </c>
      <c r="E87" s="19" t="s">
        <v>748</v>
      </c>
      <c r="F87" s="58">
        <v>8</v>
      </c>
      <c r="G87" s="43">
        <v>22</v>
      </c>
      <c r="H87" s="44">
        <v>58.6</v>
      </c>
      <c r="I87" s="44" t="s">
        <v>38</v>
      </c>
      <c r="J87" s="43">
        <v>120</v>
      </c>
      <c r="K87" s="44">
        <v>10.5</v>
      </c>
      <c r="L87" s="44" t="s">
        <v>122</v>
      </c>
      <c r="M87" s="43" t="s">
        <v>96</v>
      </c>
      <c r="N87" s="45">
        <v>14</v>
      </c>
      <c r="O87" s="45">
        <v>2</v>
      </c>
      <c r="P87" s="45">
        <v>1</v>
      </c>
      <c r="Q87" s="45">
        <v>1</v>
      </c>
      <c r="R87" s="46">
        <v>4.05</v>
      </c>
      <c r="S87" s="46">
        <v>4.18</v>
      </c>
      <c r="T87" s="46">
        <v>345</v>
      </c>
      <c r="U87" s="47">
        <v>3011</v>
      </c>
      <c r="V87" s="23">
        <v>24</v>
      </c>
      <c r="W87" s="38">
        <v>0</v>
      </c>
      <c r="X87" s="38">
        <v>0</v>
      </c>
      <c r="Y87" s="38">
        <v>24</v>
      </c>
      <c r="Z87" s="38">
        <v>0</v>
      </c>
      <c r="AA87" s="44">
        <v>0</v>
      </c>
      <c r="AB87" s="44">
        <f t="shared" ref="AB87" si="34">AA87/24</f>
        <v>0</v>
      </c>
      <c r="AC87" s="52" t="s">
        <v>113</v>
      </c>
      <c r="AD87" s="19">
        <v>180</v>
      </c>
      <c r="AE87" s="40"/>
      <c r="AF87" s="40">
        <v>0</v>
      </c>
      <c r="AG87" s="41">
        <v>0</v>
      </c>
      <c r="AH87" s="38">
        <v>0</v>
      </c>
      <c r="AI87" s="38">
        <v>0</v>
      </c>
      <c r="AJ87" s="38">
        <v>1.5</v>
      </c>
      <c r="AK87" s="38">
        <v>0</v>
      </c>
      <c r="AL87" s="24">
        <f t="shared" si="2"/>
        <v>1.5</v>
      </c>
      <c r="AM87" s="12"/>
      <c r="AN87" s="12"/>
      <c r="AO87" s="12"/>
      <c r="AP87" s="12"/>
      <c r="AQ87" s="55">
        <f t="shared" si="11"/>
        <v>284.70000000000022</v>
      </c>
      <c r="AR87" s="38"/>
      <c r="AS87" s="38">
        <v>302</v>
      </c>
      <c r="AT87" s="26"/>
      <c r="AU87" s="49"/>
      <c r="AV87" s="139" t="s">
        <v>170</v>
      </c>
      <c r="AW87" s="141"/>
    </row>
    <row r="88" spans="1:49" ht="19.399999999999999" customHeight="1">
      <c r="A88" s="18" t="s">
        <v>134</v>
      </c>
      <c r="B88" s="18" t="s">
        <v>743</v>
      </c>
      <c r="C88" s="19" t="s">
        <v>710</v>
      </c>
      <c r="D88" s="19" t="s">
        <v>710</v>
      </c>
      <c r="E88" s="19" t="s">
        <v>749</v>
      </c>
      <c r="F88" s="58">
        <v>8</v>
      </c>
      <c r="G88" s="43">
        <v>22</v>
      </c>
      <c r="H88" s="44">
        <v>58.6</v>
      </c>
      <c r="I88" s="44" t="s">
        <v>38</v>
      </c>
      <c r="J88" s="43">
        <v>120</v>
      </c>
      <c r="K88" s="44">
        <v>10.5</v>
      </c>
      <c r="L88" s="44" t="s">
        <v>122</v>
      </c>
      <c r="M88" s="43" t="s">
        <v>96</v>
      </c>
      <c r="N88" s="45">
        <v>14</v>
      </c>
      <c r="O88" s="45">
        <v>2</v>
      </c>
      <c r="P88" s="45">
        <v>1</v>
      </c>
      <c r="Q88" s="45">
        <v>1</v>
      </c>
      <c r="R88" s="46">
        <v>4.05</v>
      </c>
      <c r="S88" s="46">
        <v>4.18</v>
      </c>
      <c r="T88" s="46">
        <v>345</v>
      </c>
      <c r="U88" s="47">
        <v>3011</v>
      </c>
      <c r="V88" s="23">
        <v>24</v>
      </c>
      <c r="W88" s="38">
        <v>0</v>
      </c>
      <c r="X88" s="38">
        <v>0</v>
      </c>
      <c r="Y88" s="38">
        <v>24</v>
      </c>
      <c r="Z88" s="38">
        <v>0</v>
      </c>
      <c r="AA88" s="44">
        <v>0</v>
      </c>
      <c r="AB88" s="44">
        <f t="shared" ref="AB88" si="35">AA88/24</f>
        <v>0</v>
      </c>
      <c r="AC88" s="52" t="s">
        <v>113</v>
      </c>
      <c r="AD88" s="19">
        <v>188</v>
      </c>
      <c r="AE88" s="40"/>
      <c r="AF88" s="40">
        <v>0</v>
      </c>
      <c r="AG88" s="41">
        <v>0</v>
      </c>
      <c r="AH88" s="38">
        <v>0</v>
      </c>
      <c r="AI88" s="38">
        <v>0</v>
      </c>
      <c r="AJ88" s="38">
        <v>1.4</v>
      </c>
      <c r="AK88" s="38">
        <v>0</v>
      </c>
      <c r="AL88" s="24">
        <f t="shared" si="2"/>
        <v>1.4</v>
      </c>
      <c r="AM88" s="12"/>
      <c r="AN88" s="12"/>
      <c r="AO88" s="12"/>
      <c r="AP88" s="12"/>
      <c r="AQ88" s="55">
        <f t="shared" si="11"/>
        <v>283.30000000000024</v>
      </c>
      <c r="AR88" s="38"/>
      <c r="AS88" s="38">
        <v>294</v>
      </c>
      <c r="AT88" s="26"/>
      <c r="AU88" s="49"/>
      <c r="AV88" s="139"/>
      <c r="AW88" s="141"/>
    </row>
    <row r="89" spans="1:49" ht="19.399999999999999" customHeight="1">
      <c r="A89" s="18" t="s">
        <v>134</v>
      </c>
      <c r="B89" s="18" t="s">
        <v>743</v>
      </c>
      <c r="C89" s="19" t="s">
        <v>710</v>
      </c>
      <c r="D89" s="19" t="s">
        <v>710</v>
      </c>
      <c r="E89" s="19" t="s">
        <v>750</v>
      </c>
      <c r="F89" s="58">
        <v>8</v>
      </c>
      <c r="G89" s="43">
        <v>22</v>
      </c>
      <c r="H89" s="44">
        <v>58.6</v>
      </c>
      <c r="I89" s="44" t="s">
        <v>38</v>
      </c>
      <c r="J89" s="43">
        <v>120</v>
      </c>
      <c r="K89" s="44">
        <v>10.5</v>
      </c>
      <c r="L89" s="44" t="s">
        <v>122</v>
      </c>
      <c r="M89" s="43" t="s">
        <v>96</v>
      </c>
      <c r="N89" s="45">
        <v>14</v>
      </c>
      <c r="O89" s="45">
        <v>2</v>
      </c>
      <c r="P89" s="45">
        <v>1</v>
      </c>
      <c r="Q89" s="45">
        <v>1</v>
      </c>
      <c r="R89" s="46">
        <v>4.05</v>
      </c>
      <c r="S89" s="46">
        <v>4.18</v>
      </c>
      <c r="T89" s="46">
        <v>345</v>
      </c>
      <c r="U89" s="47">
        <v>3011</v>
      </c>
      <c r="V89" s="23">
        <v>24</v>
      </c>
      <c r="W89" s="38">
        <v>0</v>
      </c>
      <c r="X89" s="38">
        <v>0</v>
      </c>
      <c r="Y89" s="38">
        <v>24</v>
      </c>
      <c r="Z89" s="38">
        <v>0</v>
      </c>
      <c r="AA89" s="44">
        <v>0</v>
      </c>
      <c r="AB89" s="44">
        <f t="shared" ref="AB89" si="36">AA89/24</f>
        <v>0</v>
      </c>
      <c r="AC89" s="52" t="s">
        <v>113</v>
      </c>
      <c r="AD89" s="19">
        <v>177</v>
      </c>
      <c r="AE89" s="40"/>
      <c r="AF89" s="41">
        <v>0</v>
      </c>
      <c r="AG89" s="40">
        <v>0</v>
      </c>
      <c r="AH89" s="38">
        <v>0</v>
      </c>
      <c r="AI89" s="38">
        <v>0</v>
      </c>
      <c r="AJ89" s="38">
        <v>1.3</v>
      </c>
      <c r="AK89" s="21">
        <v>0</v>
      </c>
      <c r="AL89" s="24">
        <f t="shared" si="2"/>
        <v>1.3</v>
      </c>
      <c r="AM89" s="12"/>
      <c r="AN89" s="12"/>
      <c r="AO89" s="12"/>
      <c r="AP89" s="12"/>
      <c r="AQ89" s="55">
        <f t="shared" si="11"/>
        <v>282.00000000000023</v>
      </c>
      <c r="AR89" s="38"/>
      <c r="AS89" s="38">
        <v>291</v>
      </c>
      <c r="AT89" s="26"/>
      <c r="AU89" s="49"/>
      <c r="AV89" s="139"/>
      <c r="AW89" s="141"/>
    </row>
    <row r="90" spans="1:49" ht="19.399999999999999" customHeight="1">
      <c r="A90" s="18" t="s">
        <v>134</v>
      </c>
      <c r="B90" s="18" t="s">
        <v>743</v>
      </c>
      <c r="C90" s="19" t="s">
        <v>710</v>
      </c>
      <c r="D90" s="19" t="s">
        <v>710</v>
      </c>
      <c r="E90" s="19" t="s">
        <v>751</v>
      </c>
      <c r="F90" s="58">
        <v>8</v>
      </c>
      <c r="G90" s="43">
        <v>22</v>
      </c>
      <c r="H90" s="44">
        <v>58.6</v>
      </c>
      <c r="I90" s="44" t="s">
        <v>38</v>
      </c>
      <c r="J90" s="43">
        <v>120</v>
      </c>
      <c r="K90" s="44">
        <v>10.5</v>
      </c>
      <c r="L90" s="44" t="s">
        <v>122</v>
      </c>
      <c r="M90" s="43" t="s">
        <v>96</v>
      </c>
      <c r="N90" s="45">
        <v>14</v>
      </c>
      <c r="O90" s="45">
        <v>2</v>
      </c>
      <c r="P90" s="45">
        <v>1</v>
      </c>
      <c r="Q90" s="45">
        <v>1</v>
      </c>
      <c r="R90" s="46">
        <v>4.05</v>
      </c>
      <c r="S90" s="46">
        <v>4.18</v>
      </c>
      <c r="T90" s="46">
        <v>345</v>
      </c>
      <c r="U90" s="47">
        <v>3011</v>
      </c>
      <c r="V90" s="23">
        <v>24</v>
      </c>
      <c r="W90" s="38">
        <v>0</v>
      </c>
      <c r="X90" s="38">
        <v>0</v>
      </c>
      <c r="Y90" s="38">
        <v>24</v>
      </c>
      <c r="Z90" s="38">
        <v>0</v>
      </c>
      <c r="AA90" s="44">
        <v>0</v>
      </c>
      <c r="AB90" s="44">
        <f t="shared" ref="AB90" si="37">AA90/24</f>
        <v>0</v>
      </c>
      <c r="AC90" s="52" t="s">
        <v>113</v>
      </c>
      <c r="AD90" s="19">
        <v>180</v>
      </c>
      <c r="AE90" s="40"/>
      <c r="AF90" s="41">
        <v>0</v>
      </c>
      <c r="AG90" s="40">
        <v>0</v>
      </c>
      <c r="AH90" s="38">
        <v>0</v>
      </c>
      <c r="AI90" s="38">
        <v>0</v>
      </c>
      <c r="AJ90" s="21">
        <v>1.4</v>
      </c>
      <c r="AK90" s="21">
        <v>0</v>
      </c>
      <c r="AL90" s="24">
        <f t="shared" si="2"/>
        <v>1.4</v>
      </c>
      <c r="AM90" s="12"/>
      <c r="AN90" s="12"/>
      <c r="AO90" s="12"/>
      <c r="AP90" s="12"/>
      <c r="AQ90" s="55">
        <f t="shared" si="11"/>
        <v>280.60000000000025</v>
      </c>
      <c r="AR90" s="38"/>
      <c r="AS90" s="38">
        <v>285</v>
      </c>
      <c r="AT90" s="26"/>
      <c r="AU90" s="49"/>
      <c r="AV90" s="136"/>
      <c r="AW90" s="137"/>
    </row>
    <row r="91" spans="1:49" ht="19.399999999999999" customHeight="1">
      <c r="A91" s="18" t="s">
        <v>134</v>
      </c>
      <c r="B91" s="18" t="s">
        <v>743</v>
      </c>
      <c r="C91" s="19" t="s">
        <v>710</v>
      </c>
      <c r="D91" s="19" t="s">
        <v>710</v>
      </c>
      <c r="E91" s="19" t="s">
        <v>752</v>
      </c>
      <c r="F91" s="58">
        <v>8</v>
      </c>
      <c r="G91" s="43">
        <v>22</v>
      </c>
      <c r="H91" s="44">
        <v>58.6</v>
      </c>
      <c r="I91" s="44" t="s">
        <v>38</v>
      </c>
      <c r="J91" s="43">
        <v>120</v>
      </c>
      <c r="K91" s="44">
        <v>10.5</v>
      </c>
      <c r="L91" s="44" t="s">
        <v>122</v>
      </c>
      <c r="M91" s="43" t="s">
        <v>96</v>
      </c>
      <c r="N91" s="45">
        <v>14</v>
      </c>
      <c r="O91" s="45">
        <v>2</v>
      </c>
      <c r="P91" s="45">
        <v>1</v>
      </c>
      <c r="Q91" s="45">
        <v>1</v>
      </c>
      <c r="R91" s="46">
        <v>4.05</v>
      </c>
      <c r="S91" s="46">
        <v>4.18</v>
      </c>
      <c r="T91" s="46">
        <v>345</v>
      </c>
      <c r="U91" s="47">
        <v>3011</v>
      </c>
      <c r="V91" s="23">
        <v>24</v>
      </c>
      <c r="W91" s="38">
        <v>0</v>
      </c>
      <c r="X91" s="38">
        <v>0</v>
      </c>
      <c r="Y91" s="38">
        <v>24</v>
      </c>
      <c r="Z91" s="38">
        <v>0</v>
      </c>
      <c r="AA91" s="44">
        <v>0</v>
      </c>
      <c r="AB91" s="44">
        <f t="shared" ref="AB91" si="38">AA91/24</f>
        <v>0</v>
      </c>
      <c r="AC91" s="52" t="s">
        <v>113</v>
      </c>
      <c r="AD91" s="25">
        <v>179</v>
      </c>
      <c r="AE91" s="41"/>
      <c r="AF91" s="25">
        <v>0</v>
      </c>
      <c r="AG91" s="41">
        <v>0</v>
      </c>
      <c r="AH91" s="56">
        <v>0</v>
      </c>
      <c r="AI91" s="56">
        <v>0</v>
      </c>
      <c r="AJ91" s="57">
        <v>1.4</v>
      </c>
      <c r="AK91" s="57">
        <v>0</v>
      </c>
      <c r="AL91" s="24">
        <f t="shared" si="2"/>
        <v>1.4</v>
      </c>
      <c r="AM91" s="55"/>
      <c r="AN91" s="55"/>
      <c r="AO91" s="55"/>
      <c r="AP91" s="55"/>
      <c r="AQ91" s="55">
        <f t="shared" si="11"/>
        <v>279.20000000000027</v>
      </c>
      <c r="AR91" s="38"/>
      <c r="AS91" s="38">
        <v>277</v>
      </c>
      <c r="AT91" s="26"/>
      <c r="AU91" s="49"/>
      <c r="AV91" s="136"/>
      <c r="AW91" s="137"/>
    </row>
    <row r="92" spans="1:49" ht="19.399999999999999" customHeight="1">
      <c r="A92" s="18" t="s">
        <v>134</v>
      </c>
      <c r="B92" s="18" t="s">
        <v>743</v>
      </c>
      <c r="C92" s="19" t="s">
        <v>710</v>
      </c>
      <c r="D92" s="19" t="s">
        <v>710</v>
      </c>
      <c r="E92" s="19" t="s">
        <v>753</v>
      </c>
      <c r="F92" s="58">
        <v>8</v>
      </c>
      <c r="G92" s="43">
        <v>22</v>
      </c>
      <c r="H92" s="44">
        <v>58.6</v>
      </c>
      <c r="I92" s="44" t="s">
        <v>38</v>
      </c>
      <c r="J92" s="43">
        <v>120</v>
      </c>
      <c r="K92" s="44">
        <v>10.5</v>
      </c>
      <c r="L92" s="44" t="s">
        <v>122</v>
      </c>
      <c r="M92" s="43" t="s">
        <v>96</v>
      </c>
      <c r="N92" s="45">
        <v>14</v>
      </c>
      <c r="O92" s="45">
        <v>2</v>
      </c>
      <c r="P92" s="45">
        <v>1</v>
      </c>
      <c r="Q92" s="45">
        <v>1</v>
      </c>
      <c r="R92" s="46">
        <v>4.05</v>
      </c>
      <c r="S92" s="46">
        <v>4.18</v>
      </c>
      <c r="T92" s="46">
        <v>345</v>
      </c>
      <c r="U92" s="47">
        <v>3011</v>
      </c>
      <c r="V92" s="23">
        <v>24</v>
      </c>
      <c r="W92" s="38">
        <v>0</v>
      </c>
      <c r="X92" s="38">
        <v>0</v>
      </c>
      <c r="Y92" s="38">
        <v>24</v>
      </c>
      <c r="Z92" s="38">
        <v>0</v>
      </c>
      <c r="AA92" s="44">
        <v>0</v>
      </c>
      <c r="AB92" s="44">
        <f t="shared" ref="AB92" si="39">AA92/24</f>
        <v>0</v>
      </c>
      <c r="AC92" s="52" t="s">
        <v>113</v>
      </c>
      <c r="AD92" s="19">
        <v>188</v>
      </c>
      <c r="AE92" s="40"/>
      <c r="AF92" s="25">
        <v>0</v>
      </c>
      <c r="AG92" s="40">
        <v>0</v>
      </c>
      <c r="AH92" s="38">
        <v>0</v>
      </c>
      <c r="AI92" s="38">
        <v>0</v>
      </c>
      <c r="AJ92" s="21">
        <v>1.4</v>
      </c>
      <c r="AK92" s="21">
        <v>0</v>
      </c>
      <c r="AL92" s="24">
        <f t="shared" si="2"/>
        <v>1.4</v>
      </c>
      <c r="AM92" s="12"/>
      <c r="AN92" s="12"/>
      <c r="AO92" s="12"/>
      <c r="AP92" s="12"/>
      <c r="AQ92" s="55">
        <f t="shared" si="11"/>
        <v>277.8000000000003</v>
      </c>
      <c r="AR92" s="38"/>
      <c r="AS92" s="38">
        <v>275</v>
      </c>
      <c r="AT92" s="26"/>
      <c r="AU92" s="49"/>
      <c r="AV92" s="136"/>
      <c r="AW92" s="137"/>
    </row>
    <row r="93" spans="1:49" ht="19.399999999999999" customHeight="1">
      <c r="A93" s="18" t="s">
        <v>134</v>
      </c>
      <c r="B93" s="18" t="s">
        <v>757</v>
      </c>
      <c r="C93" s="19" t="s">
        <v>710</v>
      </c>
      <c r="D93" s="19" t="s">
        <v>710</v>
      </c>
      <c r="E93" s="19" t="s">
        <v>754</v>
      </c>
      <c r="F93" s="58">
        <v>8</v>
      </c>
      <c r="G93" s="43">
        <v>22</v>
      </c>
      <c r="H93" s="44">
        <v>48.1</v>
      </c>
      <c r="I93" s="44" t="s">
        <v>38</v>
      </c>
      <c r="J93" s="43">
        <v>120</v>
      </c>
      <c r="K93" s="44">
        <v>7.8</v>
      </c>
      <c r="L93" s="44" t="s">
        <v>122</v>
      </c>
      <c r="M93" s="43" t="s">
        <v>96</v>
      </c>
      <c r="N93" s="45">
        <v>14</v>
      </c>
      <c r="O93" s="45">
        <v>3</v>
      </c>
      <c r="P93" s="45">
        <v>2</v>
      </c>
      <c r="Q93" s="45">
        <v>1</v>
      </c>
      <c r="R93" s="46">
        <v>4.05</v>
      </c>
      <c r="S93" s="46">
        <v>4.2</v>
      </c>
      <c r="T93" s="46">
        <v>345</v>
      </c>
      <c r="U93" s="47">
        <v>3054</v>
      </c>
      <c r="V93" s="23">
        <v>24</v>
      </c>
      <c r="W93" s="38">
        <v>1.3</v>
      </c>
      <c r="X93" s="38">
        <v>3.6</v>
      </c>
      <c r="Y93" s="38">
        <v>19.100000000000001</v>
      </c>
      <c r="Z93" s="38">
        <v>0</v>
      </c>
      <c r="AA93" s="44">
        <v>25.2</v>
      </c>
      <c r="AB93" s="44">
        <f t="shared" ref="AB93" si="40">AA93/24</f>
        <v>1.05</v>
      </c>
      <c r="AC93" s="52" t="s">
        <v>126</v>
      </c>
      <c r="AD93" s="19" t="s">
        <v>756</v>
      </c>
      <c r="AE93" s="40"/>
      <c r="AF93" s="25" t="s">
        <v>139</v>
      </c>
      <c r="AG93" s="40" t="s">
        <v>755</v>
      </c>
      <c r="AH93" s="38">
        <v>0.4</v>
      </c>
      <c r="AI93" s="38">
        <v>0.3</v>
      </c>
      <c r="AJ93" s="21">
        <v>1</v>
      </c>
      <c r="AK93" s="21">
        <v>0</v>
      </c>
      <c r="AL93" s="24">
        <f t="shared" si="2"/>
        <v>1.7</v>
      </c>
      <c r="AM93" s="12"/>
      <c r="AN93" s="12"/>
      <c r="AO93" s="12"/>
      <c r="AP93" s="12"/>
      <c r="AQ93" s="55">
        <f t="shared" si="11"/>
        <v>276.10000000000031</v>
      </c>
      <c r="AR93" s="21"/>
      <c r="AS93" s="12">
        <v>271</v>
      </c>
      <c r="AT93" s="26"/>
      <c r="AU93" s="49"/>
      <c r="AV93" s="136"/>
      <c r="AW93" s="137"/>
    </row>
    <row r="94" spans="1:49" ht="19.399999999999999" customHeight="1">
      <c r="A94" s="18" t="s">
        <v>134</v>
      </c>
      <c r="B94" s="18" t="s">
        <v>757</v>
      </c>
      <c r="C94" s="19" t="s">
        <v>710</v>
      </c>
      <c r="D94" s="19" t="s">
        <v>710</v>
      </c>
      <c r="E94" s="19" t="s">
        <v>760</v>
      </c>
      <c r="F94" s="58">
        <v>8</v>
      </c>
      <c r="G94" s="43">
        <v>22</v>
      </c>
      <c r="H94" s="44">
        <v>11.7</v>
      </c>
      <c r="I94" s="44" t="s">
        <v>38</v>
      </c>
      <c r="J94" s="43">
        <v>120</v>
      </c>
      <c r="K94" s="44">
        <v>25.3</v>
      </c>
      <c r="L94" s="44" t="s">
        <v>122</v>
      </c>
      <c r="M94" s="43" t="s">
        <v>761</v>
      </c>
      <c r="N94" s="45">
        <v>3</v>
      </c>
      <c r="O94" s="45">
        <v>3</v>
      </c>
      <c r="P94" s="45">
        <v>3</v>
      </c>
      <c r="Q94" s="45">
        <v>1</v>
      </c>
      <c r="R94" s="46">
        <v>4.05</v>
      </c>
      <c r="S94" s="46">
        <v>4.2</v>
      </c>
      <c r="T94" s="46">
        <v>345</v>
      </c>
      <c r="U94" s="47">
        <v>3054</v>
      </c>
      <c r="V94" s="23">
        <v>24</v>
      </c>
      <c r="W94" s="38">
        <v>24</v>
      </c>
      <c r="X94" s="38">
        <v>0</v>
      </c>
      <c r="Y94" s="38">
        <v>0</v>
      </c>
      <c r="Z94" s="38">
        <v>0</v>
      </c>
      <c r="AA94" s="44">
        <v>153.9</v>
      </c>
      <c r="AB94" s="44">
        <f t="shared" ref="AB94" si="41">AA94/24</f>
        <v>6.4125000000000005</v>
      </c>
      <c r="AC94" s="52" t="s">
        <v>126</v>
      </c>
      <c r="AD94" s="25" t="s">
        <v>758</v>
      </c>
      <c r="AE94" s="41"/>
      <c r="AF94" s="25" t="s">
        <v>544</v>
      </c>
      <c r="AG94" s="25" t="s">
        <v>759</v>
      </c>
      <c r="AH94" s="56">
        <v>5.3</v>
      </c>
      <c r="AI94" s="56">
        <v>0</v>
      </c>
      <c r="AJ94" s="57">
        <v>0</v>
      </c>
      <c r="AK94" s="57">
        <v>0</v>
      </c>
      <c r="AL94" s="24">
        <f t="shared" si="2"/>
        <v>5.3</v>
      </c>
      <c r="AM94" s="55"/>
      <c r="AN94" s="55"/>
      <c r="AO94" s="55"/>
      <c r="AP94" s="55"/>
      <c r="AQ94" s="55">
        <f t="shared" si="11"/>
        <v>270.8000000000003</v>
      </c>
      <c r="AR94" s="21"/>
      <c r="AS94" s="55">
        <v>264</v>
      </c>
      <c r="AT94" s="26"/>
      <c r="AU94" s="49"/>
      <c r="AV94" s="136"/>
      <c r="AW94" s="137"/>
    </row>
    <row r="95" spans="1:49" ht="19.399999999999999" customHeight="1">
      <c r="A95" s="18" t="s">
        <v>134</v>
      </c>
      <c r="B95" s="18" t="s">
        <v>757</v>
      </c>
      <c r="C95" s="19" t="s">
        <v>710</v>
      </c>
      <c r="D95" s="19" t="s">
        <v>710</v>
      </c>
      <c r="E95" s="19" t="s">
        <v>762</v>
      </c>
      <c r="F95" s="58">
        <v>8</v>
      </c>
      <c r="G95" s="43">
        <v>22</v>
      </c>
      <c r="H95" s="44">
        <v>58.6</v>
      </c>
      <c r="I95" s="44" t="s">
        <v>38</v>
      </c>
      <c r="J95" s="43">
        <v>120</v>
      </c>
      <c r="K95" s="44">
        <v>10.5</v>
      </c>
      <c r="L95" s="44" t="s">
        <v>122</v>
      </c>
      <c r="M95" s="43" t="s">
        <v>117</v>
      </c>
      <c r="N95" s="45">
        <v>1</v>
      </c>
      <c r="O95" s="45">
        <v>2</v>
      </c>
      <c r="P95" s="45">
        <v>1</v>
      </c>
      <c r="Q95" s="45">
        <v>1</v>
      </c>
      <c r="R95" s="46">
        <v>4.05</v>
      </c>
      <c r="S95" s="46">
        <v>4.2</v>
      </c>
      <c r="T95" s="46">
        <v>345</v>
      </c>
      <c r="U95" s="47">
        <v>3054</v>
      </c>
      <c r="V95" s="23">
        <v>24</v>
      </c>
      <c r="W95" s="38">
        <v>21.1</v>
      </c>
      <c r="X95" s="38">
        <v>0.9</v>
      </c>
      <c r="Y95" s="38">
        <v>2</v>
      </c>
      <c r="Z95" s="38">
        <v>0</v>
      </c>
      <c r="AA95" s="44">
        <v>125.1</v>
      </c>
      <c r="AB95" s="44">
        <f t="shared" ref="AB95" si="42">AA95/24</f>
        <v>5.2124999999999995</v>
      </c>
      <c r="AC95" s="52" t="s">
        <v>119</v>
      </c>
      <c r="AD95" s="19">
        <v>177</v>
      </c>
      <c r="AE95" s="40"/>
      <c r="AF95" s="25">
        <v>0</v>
      </c>
      <c r="AG95" s="19">
        <v>0</v>
      </c>
      <c r="AH95" s="38">
        <v>4.2</v>
      </c>
      <c r="AI95" s="38">
        <v>0.1</v>
      </c>
      <c r="AJ95" s="21">
        <v>0.2</v>
      </c>
      <c r="AK95" s="21">
        <v>0</v>
      </c>
      <c r="AL95" s="24">
        <f t="shared" si="2"/>
        <v>4.5</v>
      </c>
      <c r="AM95" s="12"/>
      <c r="AN95" s="12"/>
      <c r="AO95" s="12"/>
      <c r="AP95" s="12"/>
      <c r="AQ95" s="55">
        <f t="shared" si="11"/>
        <v>266.3000000000003</v>
      </c>
      <c r="AR95" s="21"/>
      <c r="AS95" s="12">
        <v>256</v>
      </c>
      <c r="AT95" s="26"/>
      <c r="AU95" s="49"/>
      <c r="AV95" s="136"/>
      <c r="AW95" s="137"/>
    </row>
    <row r="96" spans="1:49" ht="19.399999999999999" customHeight="1">
      <c r="A96" s="18" t="s">
        <v>134</v>
      </c>
      <c r="B96" s="18" t="s">
        <v>757</v>
      </c>
      <c r="C96" s="19" t="s">
        <v>710</v>
      </c>
      <c r="D96" s="19" t="s">
        <v>710</v>
      </c>
      <c r="E96" s="19" t="s">
        <v>763</v>
      </c>
      <c r="F96" s="58">
        <v>8</v>
      </c>
      <c r="G96" s="43">
        <v>22</v>
      </c>
      <c r="H96" s="44">
        <v>58.6</v>
      </c>
      <c r="I96" s="44" t="s">
        <v>38</v>
      </c>
      <c r="J96" s="43">
        <v>120</v>
      </c>
      <c r="K96" s="44">
        <v>10.5</v>
      </c>
      <c r="L96" s="44" t="s">
        <v>122</v>
      </c>
      <c r="M96" s="43" t="s">
        <v>115</v>
      </c>
      <c r="N96" s="45">
        <v>1</v>
      </c>
      <c r="O96" s="45">
        <v>2</v>
      </c>
      <c r="P96" s="45">
        <v>1</v>
      </c>
      <c r="Q96" s="45">
        <v>1</v>
      </c>
      <c r="R96" s="46">
        <v>4.05</v>
      </c>
      <c r="S96" s="46">
        <v>4.2</v>
      </c>
      <c r="T96" s="46">
        <v>345</v>
      </c>
      <c r="U96" s="47">
        <v>3054</v>
      </c>
      <c r="V96" s="23">
        <v>24</v>
      </c>
      <c r="W96" s="38">
        <v>0</v>
      </c>
      <c r="X96" s="38">
        <v>0</v>
      </c>
      <c r="Y96" s="38">
        <v>24</v>
      </c>
      <c r="Z96" s="38">
        <v>0</v>
      </c>
      <c r="AA96" s="44">
        <v>0</v>
      </c>
      <c r="AB96" s="44">
        <v>0</v>
      </c>
      <c r="AC96" s="52" t="s">
        <v>119</v>
      </c>
      <c r="AD96" s="19">
        <v>223</v>
      </c>
      <c r="AE96" s="40"/>
      <c r="AF96" s="25">
        <v>0</v>
      </c>
      <c r="AG96" s="19">
        <v>0</v>
      </c>
      <c r="AH96" s="38">
        <v>0</v>
      </c>
      <c r="AI96" s="38">
        <v>0</v>
      </c>
      <c r="AJ96" s="21">
        <v>1.3</v>
      </c>
      <c r="AK96" s="21">
        <v>0</v>
      </c>
      <c r="AL96" s="24">
        <f t="shared" si="2"/>
        <v>1.3</v>
      </c>
      <c r="AM96" s="12"/>
      <c r="AN96" s="12"/>
      <c r="AO96" s="12"/>
      <c r="AP96" s="12"/>
      <c r="AQ96" s="55">
        <f t="shared" si="11"/>
        <v>265.00000000000028</v>
      </c>
      <c r="AR96" s="21"/>
      <c r="AS96" s="12">
        <v>251</v>
      </c>
      <c r="AT96" s="26"/>
      <c r="AU96" s="49"/>
      <c r="AV96" s="142"/>
      <c r="AW96" s="137"/>
    </row>
    <row r="97" spans="1:49" ht="19.399999999999999" customHeight="1">
      <c r="A97" s="18" t="s">
        <v>134</v>
      </c>
      <c r="B97" s="18" t="s">
        <v>757</v>
      </c>
      <c r="C97" s="19" t="s">
        <v>710</v>
      </c>
      <c r="D97" s="19" t="s">
        <v>710</v>
      </c>
      <c r="E97" s="19" t="s">
        <v>764</v>
      </c>
      <c r="F97" s="58">
        <v>8</v>
      </c>
      <c r="G97" s="43">
        <v>22</v>
      </c>
      <c r="H97" s="44">
        <v>58.6</v>
      </c>
      <c r="I97" s="44" t="s">
        <v>38</v>
      </c>
      <c r="J97" s="43">
        <v>120</v>
      </c>
      <c r="K97" s="44">
        <v>10.5</v>
      </c>
      <c r="L97" s="44" t="s">
        <v>122</v>
      </c>
      <c r="M97" s="43" t="s">
        <v>115</v>
      </c>
      <c r="N97" s="45">
        <v>1</v>
      </c>
      <c r="O97" s="45">
        <v>2</v>
      </c>
      <c r="P97" s="45">
        <v>1</v>
      </c>
      <c r="Q97" s="45">
        <v>1</v>
      </c>
      <c r="R97" s="46">
        <v>4.05</v>
      </c>
      <c r="S97" s="46">
        <v>4.2</v>
      </c>
      <c r="T97" s="46">
        <v>345</v>
      </c>
      <c r="U97" s="47">
        <v>3054</v>
      </c>
      <c r="V97" s="23">
        <v>24</v>
      </c>
      <c r="W97" s="38">
        <v>0</v>
      </c>
      <c r="X97" s="38">
        <v>0</v>
      </c>
      <c r="Y97" s="38">
        <v>24</v>
      </c>
      <c r="Z97" s="38">
        <v>0</v>
      </c>
      <c r="AA97" s="44">
        <v>0</v>
      </c>
      <c r="AB97" s="44">
        <v>0</v>
      </c>
      <c r="AC97" s="52" t="s">
        <v>119</v>
      </c>
      <c r="AD97" s="40">
        <v>205</v>
      </c>
      <c r="AE97" s="40"/>
      <c r="AF97" s="41">
        <v>0</v>
      </c>
      <c r="AG97" s="40">
        <v>0</v>
      </c>
      <c r="AH97" s="38">
        <v>0</v>
      </c>
      <c r="AI97" s="38">
        <v>0</v>
      </c>
      <c r="AJ97" s="38">
        <v>1.3</v>
      </c>
      <c r="AK97" s="38">
        <v>0</v>
      </c>
      <c r="AL97" s="54">
        <f t="shared" si="2"/>
        <v>1.3</v>
      </c>
      <c r="AM97" s="12"/>
      <c r="AN97" s="12"/>
      <c r="AO97" s="12"/>
      <c r="AP97" s="12"/>
      <c r="AQ97" s="55">
        <f t="shared" si="11"/>
        <v>263.70000000000027</v>
      </c>
      <c r="AR97" s="21"/>
      <c r="AS97" s="12">
        <v>247</v>
      </c>
      <c r="AT97" s="26"/>
      <c r="AU97" s="49"/>
      <c r="AV97" s="142"/>
      <c r="AW97" s="137"/>
    </row>
    <row r="98" spans="1:49" ht="19.399999999999999" customHeight="1">
      <c r="A98" s="18" t="s">
        <v>134</v>
      </c>
      <c r="B98" s="18" t="s">
        <v>757</v>
      </c>
      <c r="C98" s="19" t="s">
        <v>710</v>
      </c>
      <c r="D98" s="19" t="s">
        <v>710</v>
      </c>
      <c r="E98" s="19" t="s">
        <v>765</v>
      </c>
      <c r="F98" s="58">
        <v>8</v>
      </c>
      <c r="G98" s="43">
        <v>22</v>
      </c>
      <c r="H98" s="44">
        <v>58.6</v>
      </c>
      <c r="I98" s="44" t="s">
        <v>38</v>
      </c>
      <c r="J98" s="43">
        <v>120</v>
      </c>
      <c r="K98" s="44">
        <v>10.5</v>
      </c>
      <c r="L98" s="44" t="s">
        <v>122</v>
      </c>
      <c r="M98" s="43" t="s">
        <v>115</v>
      </c>
      <c r="N98" s="45">
        <v>1</v>
      </c>
      <c r="O98" s="45">
        <v>2</v>
      </c>
      <c r="P98" s="45">
        <v>1</v>
      </c>
      <c r="Q98" s="45">
        <v>1</v>
      </c>
      <c r="R98" s="46">
        <v>4.05</v>
      </c>
      <c r="S98" s="46">
        <v>4.2</v>
      </c>
      <c r="T98" s="46">
        <v>345</v>
      </c>
      <c r="U98" s="47">
        <v>3054</v>
      </c>
      <c r="V98" s="23">
        <v>24</v>
      </c>
      <c r="W98" s="38">
        <v>0</v>
      </c>
      <c r="X98" s="38">
        <v>0</v>
      </c>
      <c r="Y98" s="38">
        <v>24</v>
      </c>
      <c r="Z98" s="38">
        <v>0</v>
      </c>
      <c r="AA98" s="44">
        <v>0</v>
      </c>
      <c r="AB98" s="44">
        <v>0</v>
      </c>
      <c r="AC98" s="52" t="s">
        <v>119</v>
      </c>
      <c r="AD98" s="40">
        <v>176</v>
      </c>
      <c r="AE98" s="40"/>
      <c r="AF98" s="41">
        <v>0</v>
      </c>
      <c r="AG98" s="40">
        <v>0</v>
      </c>
      <c r="AH98" s="38">
        <v>0</v>
      </c>
      <c r="AI98" s="38">
        <v>0</v>
      </c>
      <c r="AJ98" s="38">
        <v>1.3</v>
      </c>
      <c r="AK98" s="38">
        <v>0</v>
      </c>
      <c r="AL98" s="54">
        <f t="shared" si="2"/>
        <v>1.3</v>
      </c>
      <c r="AM98" s="12"/>
      <c r="AN98" s="12"/>
      <c r="AO98" s="12"/>
      <c r="AP98" s="12"/>
      <c r="AQ98" s="55">
        <f t="shared" si="11"/>
        <v>262.40000000000026</v>
      </c>
      <c r="AR98" s="21"/>
      <c r="AS98" s="12">
        <v>242</v>
      </c>
      <c r="AT98" s="26"/>
      <c r="AU98" s="49"/>
      <c r="AV98" s="142"/>
      <c r="AW98" s="137"/>
    </row>
    <row r="99" spans="1:49" ht="19.399999999999999" customHeight="1">
      <c r="A99" s="18" t="s">
        <v>134</v>
      </c>
      <c r="B99" s="18" t="s">
        <v>757</v>
      </c>
      <c r="C99" s="19" t="s">
        <v>710</v>
      </c>
      <c r="D99" s="19" t="s">
        <v>710</v>
      </c>
      <c r="E99" s="19" t="s">
        <v>766</v>
      </c>
      <c r="F99" s="58">
        <v>8</v>
      </c>
      <c r="G99" s="43">
        <v>22</v>
      </c>
      <c r="H99" s="44">
        <v>58.6</v>
      </c>
      <c r="I99" s="44" t="s">
        <v>38</v>
      </c>
      <c r="J99" s="43">
        <v>120</v>
      </c>
      <c r="K99" s="44">
        <v>10.5</v>
      </c>
      <c r="L99" s="44" t="s">
        <v>122</v>
      </c>
      <c r="M99" s="43" t="s">
        <v>115</v>
      </c>
      <c r="N99" s="45">
        <v>1</v>
      </c>
      <c r="O99" s="45">
        <v>2</v>
      </c>
      <c r="P99" s="45">
        <v>1</v>
      </c>
      <c r="Q99" s="45">
        <v>1</v>
      </c>
      <c r="R99" s="46">
        <v>4.05</v>
      </c>
      <c r="S99" s="46">
        <v>4.2</v>
      </c>
      <c r="T99" s="46">
        <v>345</v>
      </c>
      <c r="U99" s="47">
        <v>3054</v>
      </c>
      <c r="V99" s="23">
        <v>24</v>
      </c>
      <c r="W99" s="38">
        <v>0</v>
      </c>
      <c r="X99" s="38">
        <v>0</v>
      </c>
      <c r="Y99" s="38">
        <v>24</v>
      </c>
      <c r="Z99" s="38">
        <v>0</v>
      </c>
      <c r="AA99" s="44">
        <v>0</v>
      </c>
      <c r="AB99" s="44">
        <v>0</v>
      </c>
      <c r="AC99" s="52" t="s">
        <v>119</v>
      </c>
      <c r="AD99" s="19">
        <v>197</v>
      </c>
      <c r="AE99" s="40"/>
      <c r="AF99" s="25">
        <v>0</v>
      </c>
      <c r="AG99" s="19">
        <v>0</v>
      </c>
      <c r="AH99" s="12">
        <v>0</v>
      </c>
      <c r="AI99" s="21">
        <v>0</v>
      </c>
      <c r="AJ99" s="21">
        <v>1.4</v>
      </c>
      <c r="AK99" s="21">
        <v>0</v>
      </c>
      <c r="AL99" s="24">
        <f t="shared" si="2"/>
        <v>1.4</v>
      </c>
      <c r="AM99" s="12"/>
      <c r="AN99" s="12"/>
      <c r="AO99" s="12"/>
      <c r="AP99" s="12"/>
      <c r="AQ99" s="55">
        <f t="shared" si="11"/>
        <v>261.00000000000028</v>
      </c>
      <c r="AR99" s="21"/>
      <c r="AS99" s="12">
        <v>238</v>
      </c>
      <c r="AT99" s="26"/>
      <c r="AU99" s="49"/>
      <c r="AV99" s="136"/>
      <c r="AW99" s="137"/>
    </row>
    <row r="100" spans="1:49" ht="19.399999999999999" customHeight="1">
      <c r="A100" s="18" t="s">
        <v>134</v>
      </c>
      <c r="B100" s="18" t="s">
        <v>757</v>
      </c>
      <c r="C100" s="19" t="s">
        <v>710</v>
      </c>
      <c r="D100" s="19" t="s">
        <v>710</v>
      </c>
      <c r="E100" s="19" t="s">
        <v>767</v>
      </c>
      <c r="F100" s="58">
        <v>8</v>
      </c>
      <c r="G100" s="43">
        <v>22</v>
      </c>
      <c r="H100" s="44">
        <v>58.6</v>
      </c>
      <c r="I100" s="44" t="s">
        <v>38</v>
      </c>
      <c r="J100" s="43">
        <v>120</v>
      </c>
      <c r="K100" s="44">
        <v>10.5</v>
      </c>
      <c r="L100" s="44" t="s">
        <v>122</v>
      </c>
      <c r="M100" s="43" t="s">
        <v>115</v>
      </c>
      <c r="N100" s="45">
        <v>1</v>
      </c>
      <c r="O100" s="45">
        <v>2</v>
      </c>
      <c r="P100" s="45">
        <v>1</v>
      </c>
      <c r="Q100" s="45">
        <v>1</v>
      </c>
      <c r="R100" s="46">
        <v>4.05</v>
      </c>
      <c r="S100" s="46">
        <v>4.2</v>
      </c>
      <c r="T100" s="46">
        <v>345</v>
      </c>
      <c r="U100" s="47">
        <v>3054</v>
      </c>
      <c r="V100" s="23">
        <v>24</v>
      </c>
      <c r="W100" s="38">
        <v>0</v>
      </c>
      <c r="X100" s="38">
        <v>0</v>
      </c>
      <c r="Y100" s="38">
        <v>24</v>
      </c>
      <c r="Z100" s="38">
        <v>0</v>
      </c>
      <c r="AA100" s="44">
        <v>0</v>
      </c>
      <c r="AB100" s="44">
        <v>0</v>
      </c>
      <c r="AC100" s="61" t="s">
        <v>119</v>
      </c>
      <c r="AD100" s="62">
        <v>183</v>
      </c>
      <c r="AE100" s="48"/>
      <c r="AF100" s="62">
        <v>0</v>
      </c>
      <c r="AG100" s="62">
        <v>0</v>
      </c>
      <c r="AH100" s="63">
        <v>0</v>
      </c>
      <c r="AI100" s="63">
        <v>0</v>
      </c>
      <c r="AJ100" s="63">
        <v>1.4</v>
      </c>
      <c r="AK100" s="63">
        <v>0</v>
      </c>
      <c r="AL100" s="64">
        <f t="shared" si="2"/>
        <v>1.4</v>
      </c>
      <c r="AM100" s="63"/>
      <c r="AN100" s="63"/>
      <c r="AO100" s="63"/>
      <c r="AP100" s="63"/>
      <c r="AQ100" s="65">
        <f t="shared" si="11"/>
        <v>259.60000000000031</v>
      </c>
      <c r="AR100" s="63"/>
      <c r="AS100" s="63">
        <v>232</v>
      </c>
      <c r="AT100" s="26"/>
      <c r="AU100" s="49"/>
      <c r="AV100" s="136"/>
      <c r="AW100" s="137"/>
    </row>
    <row r="101" spans="1:49" customFormat="1">
      <c r="A101" s="7"/>
      <c r="B101" s="7"/>
      <c r="C101" s="7"/>
      <c r="D101" s="7"/>
      <c r="E101" s="8"/>
      <c r="F101" s="8"/>
      <c r="G101" s="10"/>
      <c r="H101" s="9"/>
      <c r="I101" s="9"/>
      <c r="J101" s="10"/>
      <c r="K101" s="9"/>
      <c r="L101" s="9"/>
      <c r="M101" s="9"/>
      <c r="N101" s="9"/>
      <c r="O101" s="9"/>
      <c r="P101" s="9"/>
      <c r="Q101" s="9"/>
      <c r="R101" s="7"/>
      <c r="S101" s="7"/>
      <c r="T101" s="7"/>
      <c r="U101" s="7"/>
      <c r="V101" s="7"/>
      <c r="W101" s="7"/>
      <c r="X101" s="7"/>
      <c r="Y101" s="7"/>
      <c r="Z101" s="7"/>
      <c r="AA101" s="9"/>
      <c r="AB101" s="9"/>
      <c r="AC101" s="81"/>
      <c r="AD101" s="77"/>
      <c r="AE101" s="10"/>
      <c r="AF101" s="77"/>
      <c r="AG101" s="77"/>
      <c r="AH101" s="78"/>
      <c r="AI101" s="78"/>
      <c r="AJ101" s="78"/>
      <c r="AK101" s="78"/>
      <c r="AL101" s="78"/>
      <c r="AM101" s="78"/>
      <c r="AN101" s="78"/>
      <c r="AO101" s="78"/>
      <c r="AP101" s="78"/>
      <c r="AQ101" s="79"/>
      <c r="AR101" s="80"/>
      <c r="AS101" s="80"/>
      <c r="AT101" s="17"/>
      <c r="AU101" s="50"/>
      <c r="AV101" s="17"/>
      <c r="AW101" s="7"/>
    </row>
    <row r="102" spans="1:49" s="7" customFormat="1">
      <c r="E102" s="8"/>
      <c r="F102" s="8"/>
      <c r="G102" s="10"/>
      <c r="H102" s="9"/>
      <c r="I102" s="9"/>
      <c r="J102" s="10"/>
      <c r="K102" s="9"/>
      <c r="L102" s="9"/>
      <c r="M102" s="9"/>
      <c r="N102" s="9"/>
      <c r="O102" s="9"/>
      <c r="P102" s="9"/>
      <c r="Q102" s="9"/>
      <c r="AA102" s="9"/>
      <c r="AB102" s="9"/>
      <c r="AC102" s="9"/>
      <c r="AD102" s="10"/>
      <c r="AE102" s="10"/>
      <c r="AF102" s="10"/>
      <c r="AG102" s="10"/>
      <c r="AH102" s="11"/>
      <c r="AI102" s="11"/>
      <c r="AJ102" s="11"/>
      <c r="AK102" s="11"/>
      <c r="AL102" s="11"/>
      <c r="AM102" s="11"/>
      <c r="AN102" s="11"/>
      <c r="AO102" s="11"/>
      <c r="AP102" s="11"/>
      <c r="AQ102" s="16"/>
      <c r="AR102" s="16"/>
      <c r="AS102" s="16"/>
      <c r="AT102" s="17"/>
      <c r="AU102" s="50"/>
      <c r="AV102" s="17"/>
    </row>
    <row r="103" spans="1:49" s="7" customFormat="1">
      <c r="E103" s="8"/>
      <c r="F103" s="8"/>
      <c r="G103" s="10"/>
      <c r="H103" s="9"/>
      <c r="I103" s="9"/>
      <c r="J103" s="10"/>
      <c r="K103" s="9"/>
      <c r="L103" s="9"/>
      <c r="M103" s="9"/>
      <c r="N103" s="9"/>
      <c r="O103" s="9"/>
      <c r="P103" s="9"/>
      <c r="Q103" s="9"/>
      <c r="AA103" s="9"/>
      <c r="AB103" s="9"/>
      <c r="AC103" s="9"/>
      <c r="AD103" s="10"/>
      <c r="AE103" s="10"/>
      <c r="AF103" s="10"/>
      <c r="AG103" s="10"/>
      <c r="AH103" s="11"/>
      <c r="AI103" s="11"/>
      <c r="AJ103" s="11"/>
      <c r="AK103" s="11"/>
      <c r="AL103" s="11"/>
      <c r="AM103" s="11"/>
      <c r="AN103" s="11"/>
      <c r="AO103" s="11"/>
      <c r="AP103" s="11"/>
      <c r="AQ103" s="16"/>
      <c r="AR103" s="16"/>
      <c r="AS103" s="16"/>
      <c r="AT103" s="17"/>
      <c r="AU103" s="50"/>
      <c r="AV103" s="17"/>
    </row>
    <row r="104" spans="1:49" s="7" customFormat="1">
      <c r="E104" s="8"/>
      <c r="F104" s="8"/>
      <c r="G104" s="10"/>
      <c r="H104" s="9"/>
      <c r="I104" s="9"/>
      <c r="J104" s="10"/>
      <c r="K104" s="9"/>
      <c r="L104" s="9"/>
      <c r="M104" s="9"/>
      <c r="N104" s="9"/>
      <c r="O104" s="9"/>
      <c r="P104" s="9"/>
      <c r="Q104" s="9"/>
      <c r="AA104" s="9"/>
      <c r="AB104" s="9"/>
      <c r="AC104" s="5"/>
      <c r="AD104" s="10"/>
      <c r="AE104" s="10"/>
      <c r="AF104" s="10"/>
      <c r="AG104" s="10"/>
      <c r="AH104" s="11"/>
      <c r="AI104" s="11"/>
      <c r="AJ104" s="11"/>
      <c r="AK104" s="11"/>
      <c r="AL104" s="11"/>
      <c r="AM104" s="11"/>
      <c r="AN104" s="11"/>
      <c r="AO104" s="11"/>
      <c r="AP104" s="11"/>
      <c r="AQ104" s="16"/>
      <c r="AR104" s="16"/>
      <c r="AS104" s="16"/>
      <c r="AT104" s="17"/>
      <c r="AU104" s="50"/>
      <c r="AV104" s="17"/>
    </row>
    <row r="105" spans="1:49" s="7" customFormat="1">
      <c r="E105" s="8"/>
      <c r="F105" s="8"/>
      <c r="G105" s="10"/>
      <c r="H105" s="9"/>
      <c r="I105" s="9"/>
      <c r="J105" s="10"/>
      <c r="K105" s="9"/>
      <c r="L105" s="9"/>
      <c r="M105" s="9"/>
      <c r="N105" s="9"/>
      <c r="O105" s="9"/>
      <c r="P105" s="9"/>
      <c r="Q105" s="5"/>
      <c r="W105" s="1"/>
      <c r="X105" s="1"/>
      <c r="Y105" s="1"/>
      <c r="Z105" s="1"/>
      <c r="AA105" s="5"/>
      <c r="AB105" s="5"/>
      <c r="AC105" s="5"/>
      <c r="AD105" s="6"/>
      <c r="AE105" s="6"/>
      <c r="AF105" s="6"/>
      <c r="AG105" s="6"/>
      <c r="AH105" s="2"/>
      <c r="AI105" s="2"/>
      <c r="AJ105" s="2"/>
      <c r="AK105" s="2"/>
      <c r="AL105" s="2"/>
      <c r="AM105" s="2"/>
      <c r="AN105" s="2"/>
      <c r="AO105" s="2"/>
      <c r="AP105" s="2"/>
      <c r="AQ105" s="14"/>
      <c r="AR105" s="14"/>
      <c r="AS105" s="14"/>
      <c r="AT105" s="17"/>
      <c r="AU105" s="50"/>
      <c r="AV105" s="17"/>
    </row>
    <row r="106" spans="1:49" s="7" customFormat="1">
      <c r="A106" s="1"/>
      <c r="B106" s="1"/>
      <c r="C106" s="1"/>
      <c r="D106" s="1"/>
      <c r="E106" s="3"/>
      <c r="F106" s="3"/>
      <c r="G106" s="6"/>
      <c r="H106" s="5"/>
      <c r="I106" s="5"/>
      <c r="J106" s="6"/>
      <c r="K106" s="5"/>
      <c r="L106" s="5"/>
      <c r="M106" s="5"/>
      <c r="N106" s="5"/>
      <c r="O106" s="5"/>
      <c r="P106" s="5"/>
      <c r="Q106" s="5"/>
      <c r="R106" s="1"/>
      <c r="S106" s="1"/>
      <c r="T106" s="1"/>
      <c r="U106" s="1"/>
      <c r="V106" s="1"/>
      <c r="W106" s="1"/>
      <c r="X106" s="1"/>
      <c r="Y106" s="1"/>
      <c r="Z106" s="1"/>
      <c r="AA106" s="5"/>
      <c r="AB106" s="5"/>
      <c r="AC106" s="5"/>
      <c r="AD106" s="6"/>
      <c r="AE106" s="6"/>
      <c r="AF106" s="6"/>
      <c r="AG106" s="6"/>
      <c r="AH106" s="2"/>
      <c r="AI106" s="2"/>
      <c r="AJ106" s="2"/>
      <c r="AK106" s="2"/>
      <c r="AL106" s="2"/>
      <c r="AM106" s="2"/>
      <c r="AN106" s="2"/>
      <c r="AO106" s="2"/>
      <c r="AP106" s="2"/>
      <c r="AQ106" s="14"/>
      <c r="AR106" s="14"/>
      <c r="AS106" s="14"/>
      <c r="AT106" s="15"/>
      <c r="AU106" s="51"/>
      <c r="AV106" s="15"/>
      <c r="AW106" s="1"/>
    </row>
    <row r="1048574" spans="43:43">
      <c r="AQ1048574" s="12">
        <f>AQ1048573-AL1048574</f>
        <v>0</v>
      </c>
    </row>
  </sheetData>
  <mergeCells count="149">
    <mergeCell ref="A1:AW1"/>
    <mergeCell ref="A2:A4"/>
    <mergeCell ref="B2:B4"/>
    <mergeCell ref="C2:C4"/>
    <mergeCell ref="D2:D4"/>
    <mergeCell ref="E2:E4"/>
    <mergeCell ref="F2:F4"/>
    <mergeCell ref="G2:L2"/>
    <mergeCell ref="M2:Q2"/>
    <mergeCell ref="R2:S2"/>
    <mergeCell ref="AQ2:AS2"/>
    <mergeCell ref="AT2:AT4"/>
    <mergeCell ref="AU2:AU4"/>
    <mergeCell ref="AV2:AW4"/>
    <mergeCell ref="AQ3:AQ4"/>
    <mergeCell ref="AR3:AR4"/>
    <mergeCell ref="AS3:AS4"/>
    <mergeCell ref="T2:T4"/>
    <mergeCell ref="U2:U4"/>
    <mergeCell ref="V2:Z2"/>
    <mergeCell ref="AB2:AB4"/>
    <mergeCell ref="AC2:AG2"/>
    <mergeCell ref="AH2:AK2"/>
    <mergeCell ref="Y3:Y4"/>
    <mergeCell ref="G3:I3"/>
    <mergeCell ref="J3:L3"/>
    <mergeCell ref="M3:M4"/>
    <mergeCell ref="N3:N4"/>
    <mergeCell ref="O3:O4"/>
    <mergeCell ref="P3:P4"/>
    <mergeCell ref="AJ3:AJ4"/>
    <mergeCell ref="AK3:AK4"/>
    <mergeCell ref="AM3:AM4"/>
    <mergeCell ref="Z3:Z4"/>
    <mergeCell ref="AA3:AA4"/>
    <mergeCell ref="AC3:AC4"/>
    <mergeCell ref="Q3:Q4"/>
    <mergeCell ref="R3:R4"/>
    <mergeCell ref="S3:S4"/>
    <mergeCell ref="V3:V4"/>
    <mergeCell ref="W3:W4"/>
    <mergeCell ref="X3:X4"/>
    <mergeCell ref="AN3:AN4"/>
    <mergeCell ref="AO3:AO4"/>
    <mergeCell ref="AP3:AP4"/>
    <mergeCell ref="AD3:AD4"/>
    <mergeCell ref="AE3:AE4"/>
    <mergeCell ref="AF3:AF4"/>
    <mergeCell ref="AG3:AG4"/>
    <mergeCell ref="AH3:AH4"/>
    <mergeCell ref="AI3:AI4"/>
    <mergeCell ref="AL2:AL4"/>
    <mergeCell ref="AM2:AP2"/>
    <mergeCell ref="AV11:AW11"/>
    <mergeCell ref="AV12:AW12"/>
    <mergeCell ref="AV13:AW13"/>
    <mergeCell ref="AV14:AW14"/>
    <mergeCell ref="AV15:AW15"/>
    <mergeCell ref="AV16:AW16"/>
    <mergeCell ref="AV5:AW5"/>
    <mergeCell ref="AV6:AW6"/>
    <mergeCell ref="AV7:AW7"/>
    <mergeCell ref="AV8:AW8"/>
    <mergeCell ref="AV9:AW9"/>
    <mergeCell ref="AV10:AW10"/>
    <mergeCell ref="AV23:AW23"/>
    <mergeCell ref="AV24:AW24"/>
    <mergeCell ref="AV25:AW25"/>
    <mergeCell ref="AV26:AW26"/>
    <mergeCell ref="AV27:AW27"/>
    <mergeCell ref="AV28:AW28"/>
    <mergeCell ref="AV17:AW17"/>
    <mergeCell ref="AV18:AW18"/>
    <mergeCell ref="AV19:AW19"/>
    <mergeCell ref="AV20:AW20"/>
    <mergeCell ref="AV21:AW21"/>
    <mergeCell ref="AV22:AW22"/>
    <mergeCell ref="AV35:AW35"/>
    <mergeCell ref="AV36:AW36"/>
    <mergeCell ref="AV37:AW37"/>
    <mergeCell ref="AV38:AW38"/>
    <mergeCell ref="AV39:AW39"/>
    <mergeCell ref="AV40:AW40"/>
    <mergeCell ref="AV29:AW29"/>
    <mergeCell ref="AV30:AW30"/>
    <mergeCell ref="AV31:AW31"/>
    <mergeCell ref="AV32:AW32"/>
    <mergeCell ref="AV33:AW33"/>
    <mergeCell ref="AV34:AW34"/>
    <mergeCell ref="AV47:AW47"/>
    <mergeCell ref="AV48:AW48"/>
    <mergeCell ref="AV49:AW49"/>
    <mergeCell ref="AV50:AW50"/>
    <mergeCell ref="AV51:AW51"/>
    <mergeCell ref="AV52:AW52"/>
    <mergeCell ref="AV41:AW41"/>
    <mergeCell ref="AV42:AW42"/>
    <mergeCell ref="AV43:AW43"/>
    <mergeCell ref="AV44:AW44"/>
    <mergeCell ref="AV45:AW45"/>
    <mergeCell ref="AV46:AW46"/>
    <mergeCell ref="AV59:AW59"/>
    <mergeCell ref="AV60:AW60"/>
    <mergeCell ref="AV61:AW61"/>
    <mergeCell ref="AV62:AW62"/>
    <mergeCell ref="AV63:AW63"/>
    <mergeCell ref="AV64:AW64"/>
    <mergeCell ref="AV53:AW53"/>
    <mergeCell ref="AV54:AW54"/>
    <mergeCell ref="AV55:AW55"/>
    <mergeCell ref="AV56:AW56"/>
    <mergeCell ref="AV57:AW57"/>
    <mergeCell ref="AV58:AW58"/>
    <mergeCell ref="AV71:AW71"/>
    <mergeCell ref="AV72:AW72"/>
    <mergeCell ref="AV73:AW73"/>
    <mergeCell ref="AV74:AW74"/>
    <mergeCell ref="AV75:AW75"/>
    <mergeCell ref="AV76:AW76"/>
    <mergeCell ref="AV65:AW65"/>
    <mergeCell ref="AV66:AW66"/>
    <mergeCell ref="AV67:AW67"/>
    <mergeCell ref="AV68:AW68"/>
    <mergeCell ref="AV69:AW69"/>
    <mergeCell ref="AV70:AW70"/>
    <mergeCell ref="AV83:AW83"/>
    <mergeCell ref="AV84:AW84"/>
    <mergeCell ref="AV85:AW85"/>
    <mergeCell ref="AV86:AW86"/>
    <mergeCell ref="AV87:AW87"/>
    <mergeCell ref="AV88:AW88"/>
    <mergeCell ref="AV77:AW77"/>
    <mergeCell ref="AV78:AW78"/>
    <mergeCell ref="AV79:AW79"/>
    <mergeCell ref="AV80:AW80"/>
    <mergeCell ref="AV81:AW81"/>
    <mergeCell ref="AV82:AW82"/>
    <mergeCell ref="AV95:AW95"/>
    <mergeCell ref="AV96:AW96"/>
    <mergeCell ref="AV97:AW97"/>
    <mergeCell ref="AV98:AW98"/>
    <mergeCell ref="AV99:AW99"/>
    <mergeCell ref="AV100:AW100"/>
    <mergeCell ref="AV89:AW89"/>
    <mergeCell ref="AV90:AW90"/>
    <mergeCell ref="AV91:AW91"/>
    <mergeCell ref="AV92:AW92"/>
    <mergeCell ref="AV93:AW93"/>
    <mergeCell ref="AV94:AW94"/>
  </mergeCells>
  <phoneticPr fontId="42" type="noConversion"/>
  <conditionalFormatting sqref="AM6:AM37 AQ58:AQ101">
    <cfRule type="containsText" dxfId="44" priority="16" operator="containsText" text="Pls check Quantity of each section">
      <formula>NOT(ISERROR(SEARCH("Pls check Quantity of each section",AM6)))</formula>
    </cfRule>
  </conditionalFormatting>
  <conditionalFormatting sqref="AM39:AM65 AM99:AM100 AM67 AM77:AM97">
    <cfRule type="containsText" dxfId="43" priority="17" operator="containsText" text="Pls check Quantity of each section">
      <formula>NOT(ISERROR(SEARCH("Pls check Quantity of each section",AM39)))</formula>
    </cfRule>
  </conditionalFormatting>
  <conditionalFormatting sqref="AM98">
    <cfRule type="containsText" dxfId="42" priority="15" operator="containsText" text="Pls check Quantity of each section">
      <formula>NOT(ISERROR(SEARCH("Pls check Quantity of each section",AM98)))</formula>
    </cfRule>
  </conditionalFormatting>
  <conditionalFormatting sqref="AM66">
    <cfRule type="containsText" dxfId="41" priority="14" operator="containsText" text="Pls check Quantity of each section">
      <formula>NOT(ISERROR(SEARCH("Pls check Quantity of each section",AM66)))</formula>
    </cfRule>
  </conditionalFormatting>
  <conditionalFormatting sqref="AM68">
    <cfRule type="containsText" dxfId="40" priority="13" operator="containsText" text="Pls check Quantity of each section">
      <formula>NOT(ISERROR(SEARCH("Pls check Quantity of each section",AM68)))</formula>
    </cfRule>
  </conditionalFormatting>
  <conditionalFormatting sqref="AM69">
    <cfRule type="containsText" dxfId="39" priority="12" operator="containsText" text="Pls check Quantity of each section">
      <formula>NOT(ISERROR(SEARCH("Pls check Quantity of each section",AM69)))</formula>
    </cfRule>
  </conditionalFormatting>
  <conditionalFormatting sqref="AM70">
    <cfRule type="containsText" dxfId="38" priority="11" operator="containsText" text="Pls check Quantity of each section">
      <formula>NOT(ISERROR(SEARCH("Pls check Quantity of each section",AM70)))</formula>
    </cfRule>
  </conditionalFormatting>
  <conditionalFormatting sqref="AM71">
    <cfRule type="containsText" dxfId="37" priority="10" operator="containsText" text="Pls check Quantity of each section">
      <formula>NOT(ISERROR(SEARCH("Pls check Quantity of each section",AM71)))</formula>
    </cfRule>
  </conditionalFormatting>
  <conditionalFormatting sqref="AM72">
    <cfRule type="containsText" dxfId="36" priority="9" operator="containsText" text="Pls check Quantity of each section">
      <formula>NOT(ISERROR(SEARCH("Pls check Quantity of each section",AM72)))</formula>
    </cfRule>
  </conditionalFormatting>
  <conditionalFormatting sqref="AM73">
    <cfRule type="containsText" dxfId="35" priority="8" operator="containsText" text="Pls check Quantity of each section">
      <formula>NOT(ISERROR(SEARCH("Pls check Quantity of each section",AM73)))</formula>
    </cfRule>
  </conditionalFormatting>
  <conditionalFormatting sqref="AM74">
    <cfRule type="containsText" dxfId="34" priority="7" operator="containsText" text="Pls check Quantity of each section">
      <formula>NOT(ISERROR(SEARCH("Pls check Quantity of each section",AM74)))</formula>
    </cfRule>
  </conditionalFormatting>
  <conditionalFormatting sqref="AM75">
    <cfRule type="containsText" dxfId="33" priority="6" operator="containsText" text="Pls check Quantity of each section">
      <formula>NOT(ISERROR(SEARCH("Pls check Quantity of each section",AM75)))</formula>
    </cfRule>
  </conditionalFormatting>
  <conditionalFormatting sqref="AM76">
    <cfRule type="containsText" dxfId="32" priority="5" operator="containsText" text="Pls check Quantity of each section">
      <formula>NOT(ISERROR(SEARCH("Pls check Quantity of each section",AM76)))</formula>
    </cfRule>
  </conditionalFormatting>
  <conditionalFormatting sqref="AQ5:AQ57">
    <cfRule type="containsText" dxfId="31" priority="1" operator="containsText" text="Pls check Quantity of each section">
      <formula>NOT(ISERROR(SEARCH("Pls check Quantity of each section",AQ5)))</formula>
    </cfRule>
  </conditionalFormatting>
  <conditionalFormatting sqref="AM5">
    <cfRule type="containsText" dxfId="30" priority="2" operator="containsText" text="Pls check Quantity of each section">
      <formula>NOT(ISERROR(SEARCH("Pls check Quantity of each section",AM5)))</formula>
    </cfRule>
  </conditionalFormatting>
  <dataValidations count="15">
    <dataValidation type="list" operator="equal" allowBlank="1" showInputMessage="1" showErrorMessage="1" sqref="M5:M100" xr:uid="{00000000-0002-0000-0200-000000000000}">
      <formula1>"A,B,C,D,E,F,G,H,L,M,O,P,Q,R,S,T,U,V,W,X,Z"</formula1>
    </dataValidation>
    <dataValidation type="list" operator="equal" allowBlank="1" showInputMessage="1" showErrorMessage="1" sqref="L5:L100" xr:uid="{00000000-0002-0000-0200-000001000000}">
      <formula1>"E,W"</formula1>
    </dataValidation>
    <dataValidation type="list" operator="equal" allowBlank="1" showInputMessage="1" showErrorMessage="1" sqref="I5:I100" xr:uid="{00000000-0002-0000-0200-000002000000}">
      <formula1>"N,S"</formula1>
    </dataValidation>
    <dataValidation type="decimal" allowBlank="1" showInputMessage="1" showErrorMessage="1" sqref="F5:F100" xr:uid="{00000000-0002-0000-0200-000003000000}">
      <formula1>-11</formula1>
      <formula2>13</formula2>
    </dataValidation>
    <dataValidation type="decimal" allowBlank="1" showInputMessage="1" showErrorMessage="1" sqref="K5:K100 H5:H100" xr:uid="{00000000-0002-0000-0200-000004000000}">
      <formula1>0</formula1>
      <formula2>60</formula2>
    </dataValidation>
    <dataValidation type="whole" allowBlank="1" showInputMessage="1" showErrorMessage="1" sqref="G5:G100" xr:uid="{00000000-0002-0000-0200-000005000000}">
      <formula1>0</formula1>
      <formula2>90</formula2>
    </dataValidation>
    <dataValidation type="whole" allowBlank="1" showInputMessage="1" showErrorMessage="1" sqref="J5:J100" xr:uid="{00000000-0002-0000-0200-000006000000}">
      <formula1>0</formula1>
      <formula2>180</formula2>
    </dataValidation>
    <dataValidation type="list" allowBlank="1" showInputMessage="1" showErrorMessage="1" sqref="Q5:Q100" xr:uid="{00000000-0002-0000-0200-000007000000}">
      <formula1>"0,1,2,3,4,5,6,7,8"</formula1>
    </dataValidation>
    <dataValidation type="list" allowBlank="1" showInputMessage="1" showErrorMessage="1" sqref="P5:P100" xr:uid="{00000000-0002-0000-0200-000008000000}">
      <formula1>"0,1,2,3,4,5,6,7,8,9"</formula1>
    </dataValidation>
    <dataValidation type="list" allowBlank="1" showInputMessage="1" showErrorMessage="1" sqref="O5:O100" xr:uid="{00000000-0002-0000-0200-000009000000}">
      <formula1>"0,1,2,3,4,5,6,7,8,9,10,11,12,13,14,15,16,17"</formula1>
    </dataValidation>
    <dataValidation type="list" allowBlank="1" showInputMessage="1" showErrorMessage="1" sqref="N5:N100" xr:uid="{00000000-0002-0000-0200-00000A000000}">
      <formula1>"0,1,2,3,4,5,6,7,8,9,10,11,12,13,14,15"</formula1>
    </dataValidation>
    <dataValidation type="decimal" allowBlank="1" showInputMessage="1" showErrorMessage="1" sqref="AB5:AB100 S5:S100" xr:uid="{00000000-0002-0000-0200-00000B000000}">
      <formula1>0</formula1>
      <formula2>30</formula2>
    </dataValidation>
    <dataValidation type="decimal" allowBlank="1" showInputMessage="1" showErrorMessage="1" sqref="AA5:AA100" xr:uid="{00000000-0002-0000-0200-00000C000000}">
      <formula1>0</formula1>
      <formula2>625</formula2>
    </dataValidation>
    <dataValidation type="decimal" allowBlank="1" showInputMessage="1" showErrorMessage="1" sqref="AI28 AH26:AI27 AQ1048574:AQ1048576 AH29:AI36 AJ26:AJ37 AK26:AK96 AI38:AJ77 AM5:AS100 AH97:AL100 AL14:AL96 AH5:AL5 AH78:AJ96 AL6:AL9 AH6:AK25 AH37:AH77 U5:U100 AQ101" xr:uid="{00000000-0002-0000-0200-00000D000000}">
      <formula1>0</formula1>
      <formula2>100000</formula2>
    </dataValidation>
    <dataValidation type="decimal" allowBlank="1" showInputMessage="1" showErrorMessage="1" sqref="V5:Z100" xr:uid="{00000000-0002-0000-0200-00000E000000}">
      <formula1>0</formula1>
      <formula2>25</formula2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W1048574"/>
  <sheetViews>
    <sheetView zoomScale="85" zoomScaleNormal="85" zoomScaleSheetLayoutView="70" workbookViewId="0">
      <pane xSplit="5" ySplit="4" topLeftCell="N29" activePane="bottomRight" state="frozen"/>
      <selection pane="topRight" activeCell="F1" sqref="F1"/>
      <selection pane="bottomLeft" activeCell="A5" sqref="A5"/>
      <selection pane="bottomRight" activeCell="AG5" sqref="AG5"/>
    </sheetView>
  </sheetViews>
  <sheetFormatPr defaultColWidth="9" defaultRowHeight="13.5"/>
  <cols>
    <col min="1" max="1" width="15.54296875" style="1" customWidth="1"/>
    <col min="2" max="2" width="14" style="1" customWidth="1"/>
    <col min="3" max="3" width="13.54296875" style="1" customWidth="1"/>
    <col min="4" max="4" width="14.453125" style="1" customWidth="1"/>
    <col min="5" max="5" width="17" style="3" customWidth="1"/>
    <col min="6" max="6" width="18.1796875" style="3" customWidth="1"/>
    <col min="7" max="7" width="6.54296875" style="6" customWidth="1"/>
    <col min="8" max="9" width="6.54296875" style="5" customWidth="1"/>
    <col min="10" max="10" width="6.54296875" style="6" customWidth="1"/>
    <col min="11" max="11" width="6.54296875" style="5" customWidth="1"/>
    <col min="12" max="12" width="5.54296875" style="5" customWidth="1"/>
    <col min="13" max="13" width="8.453125" style="5" customWidth="1"/>
    <col min="14" max="14" width="9.54296875" style="5" customWidth="1"/>
    <col min="15" max="17" width="6.54296875" style="5" customWidth="1"/>
    <col min="18" max="19" width="6.54296875" style="1" customWidth="1"/>
    <col min="20" max="20" width="7.54296875" style="1" customWidth="1"/>
    <col min="21" max="21" width="13.453125" style="1" customWidth="1"/>
    <col min="22" max="22" width="6.54296875" style="1" customWidth="1"/>
    <col min="23" max="23" width="12.453125" style="1" customWidth="1"/>
    <col min="24" max="26" width="10.54296875" style="1" customWidth="1"/>
    <col min="27" max="27" width="10.54296875" style="5" customWidth="1"/>
    <col min="28" max="28" width="8.54296875" style="5" customWidth="1"/>
    <col min="29" max="29" width="13" style="5" customWidth="1"/>
    <col min="30" max="31" width="15" style="6" customWidth="1"/>
    <col min="32" max="32" width="11.453125" style="6" customWidth="1"/>
    <col min="33" max="33" width="10.453125" style="6" customWidth="1"/>
    <col min="34" max="37" width="23.453125" style="2" customWidth="1"/>
    <col min="38" max="38" width="16.54296875" style="2" customWidth="1"/>
    <col min="39" max="42" width="8.54296875" style="2" customWidth="1"/>
    <col min="43" max="43" width="10.54296875" style="14" bestFit="1" customWidth="1"/>
    <col min="44" max="45" width="8.54296875" style="14" customWidth="1"/>
    <col min="46" max="46" width="15" style="15" hidden="1" customWidth="1"/>
    <col min="47" max="47" width="15" style="51" customWidth="1"/>
    <col min="48" max="48" width="10.453125" style="15" customWidth="1"/>
    <col min="49" max="49" width="19.453125" style="1" customWidth="1"/>
    <col min="50" max="16384" width="9" style="1"/>
  </cols>
  <sheetData>
    <row r="1" spans="1:49" ht="28.4" customHeight="1">
      <c r="A1" s="82" t="s">
        <v>110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4"/>
      <c r="AE1" s="84"/>
      <c r="AF1" s="84"/>
      <c r="AG1" s="84"/>
      <c r="AH1" s="84"/>
      <c r="AI1" s="84"/>
      <c r="AJ1" s="84"/>
      <c r="AK1" s="84"/>
      <c r="AL1" s="84"/>
      <c r="AM1" s="84"/>
      <c r="AN1" s="84"/>
      <c r="AO1" s="84"/>
      <c r="AP1" s="84"/>
      <c r="AQ1" s="84"/>
      <c r="AR1" s="84"/>
      <c r="AS1" s="84"/>
      <c r="AT1" s="84"/>
      <c r="AU1" s="84"/>
      <c r="AV1" s="84"/>
      <c r="AW1" s="84"/>
    </row>
    <row r="2" spans="1:49" s="2" customFormat="1" ht="53.25" customHeight="1">
      <c r="A2" s="85" t="s">
        <v>14</v>
      </c>
      <c r="B2" s="85" t="s">
        <v>0</v>
      </c>
      <c r="C2" s="86" t="s">
        <v>27</v>
      </c>
      <c r="D2" s="86" t="s">
        <v>28</v>
      </c>
      <c r="E2" s="87" t="s">
        <v>25</v>
      </c>
      <c r="F2" s="89" t="s">
        <v>26</v>
      </c>
      <c r="G2" s="92" t="s">
        <v>1</v>
      </c>
      <c r="H2" s="93"/>
      <c r="I2" s="93"/>
      <c r="J2" s="93"/>
      <c r="K2" s="94"/>
      <c r="L2" s="95"/>
      <c r="M2" s="96" t="s">
        <v>15</v>
      </c>
      <c r="N2" s="97"/>
      <c r="O2" s="97"/>
      <c r="P2" s="97"/>
      <c r="Q2" s="98"/>
      <c r="R2" s="99" t="s">
        <v>19</v>
      </c>
      <c r="S2" s="99"/>
      <c r="T2" s="89" t="s">
        <v>7</v>
      </c>
      <c r="U2" s="116" t="s">
        <v>95</v>
      </c>
      <c r="V2" s="117" t="s">
        <v>37</v>
      </c>
      <c r="W2" s="118"/>
      <c r="X2" s="118"/>
      <c r="Y2" s="118"/>
      <c r="Z2" s="119"/>
      <c r="AA2" s="39" t="s">
        <v>20</v>
      </c>
      <c r="AB2" s="111" t="s">
        <v>111</v>
      </c>
      <c r="AC2" s="120" t="s">
        <v>105</v>
      </c>
      <c r="AD2" s="121"/>
      <c r="AE2" s="121"/>
      <c r="AF2" s="121"/>
      <c r="AG2" s="119"/>
      <c r="AH2" s="117" t="s">
        <v>98</v>
      </c>
      <c r="AI2" s="121"/>
      <c r="AJ2" s="121"/>
      <c r="AK2" s="119"/>
      <c r="AL2" s="126" t="s">
        <v>30</v>
      </c>
      <c r="AM2" s="134" t="s">
        <v>31</v>
      </c>
      <c r="AN2" s="135"/>
      <c r="AO2" s="135"/>
      <c r="AP2" s="135"/>
      <c r="AQ2" s="100" t="s">
        <v>34</v>
      </c>
      <c r="AR2" s="101"/>
      <c r="AS2" s="100"/>
      <c r="AT2" s="102" t="s">
        <v>39</v>
      </c>
      <c r="AU2" s="102" t="s">
        <v>39</v>
      </c>
      <c r="AV2" s="105" t="s">
        <v>35</v>
      </c>
      <c r="AW2" s="106"/>
    </row>
    <row r="3" spans="1:49" s="2" customFormat="1" ht="34.5" customHeight="1">
      <c r="A3" s="85"/>
      <c r="B3" s="85"/>
      <c r="C3" s="86"/>
      <c r="D3" s="86"/>
      <c r="E3" s="87"/>
      <c r="F3" s="90"/>
      <c r="G3" s="92" t="s">
        <v>21</v>
      </c>
      <c r="H3" s="93"/>
      <c r="I3" s="95"/>
      <c r="J3" s="92" t="s">
        <v>13</v>
      </c>
      <c r="K3" s="93"/>
      <c r="L3" s="95"/>
      <c r="M3" s="124" t="s">
        <v>15</v>
      </c>
      <c r="N3" s="111" t="s">
        <v>9</v>
      </c>
      <c r="O3" s="111" t="s">
        <v>22</v>
      </c>
      <c r="P3" s="111" t="s">
        <v>10</v>
      </c>
      <c r="Q3" s="111" t="s">
        <v>16</v>
      </c>
      <c r="R3" s="111" t="s">
        <v>23</v>
      </c>
      <c r="S3" s="111" t="s">
        <v>24</v>
      </c>
      <c r="T3" s="114"/>
      <c r="U3" s="103"/>
      <c r="V3" s="111" t="s">
        <v>11</v>
      </c>
      <c r="W3" s="111" t="s">
        <v>97</v>
      </c>
      <c r="X3" s="111" t="s">
        <v>29</v>
      </c>
      <c r="Y3" s="122" t="s">
        <v>106</v>
      </c>
      <c r="Z3" s="122" t="s">
        <v>107</v>
      </c>
      <c r="AA3" s="111" t="s">
        <v>97</v>
      </c>
      <c r="AB3" s="103"/>
      <c r="AC3" s="128" t="s">
        <v>101</v>
      </c>
      <c r="AD3" s="129" t="s">
        <v>102</v>
      </c>
      <c r="AE3" s="130" t="s">
        <v>112</v>
      </c>
      <c r="AF3" s="129" t="s">
        <v>103</v>
      </c>
      <c r="AG3" s="129" t="s">
        <v>104</v>
      </c>
      <c r="AH3" s="126" t="s">
        <v>99</v>
      </c>
      <c r="AI3" s="129" t="s">
        <v>100</v>
      </c>
      <c r="AJ3" s="126" t="s">
        <v>108</v>
      </c>
      <c r="AK3" s="111" t="s">
        <v>109</v>
      </c>
      <c r="AL3" s="132"/>
      <c r="AM3" s="127" t="s">
        <v>3</v>
      </c>
      <c r="AN3" s="113" t="s">
        <v>4</v>
      </c>
      <c r="AO3" s="113" t="s">
        <v>32</v>
      </c>
      <c r="AP3" s="113" t="s">
        <v>33</v>
      </c>
      <c r="AQ3" s="111" t="s">
        <v>3</v>
      </c>
      <c r="AR3" s="113" t="s">
        <v>32</v>
      </c>
      <c r="AS3" s="113" t="s">
        <v>36</v>
      </c>
      <c r="AT3" s="103"/>
      <c r="AU3" s="90"/>
      <c r="AV3" s="107"/>
      <c r="AW3" s="108"/>
    </row>
    <row r="4" spans="1:49" s="2" customFormat="1" ht="203.25" customHeight="1">
      <c r="A4" s="85"/>
      <c r="B4" s="85"/>
      <c r="C4" s="86"/>
      <c r="D4" s="86"/>
      <c r="E4" s="88"/>
      <c r="F4" s="91"/>
      <c r="G4" s="22" t="s">
        <v>17</v>
      </c>
      <c r="H4" s="22" t="s">
        <v>8</v>
      </c>
      <c r="I4" s="22" t="s">
        <v>18</v>
      </c>
      <c r="J4" s="22" t="s">
        <v>17</v>
      </c>
      <c r="K4" s="22" t="s">
        <v>8</v>
      </c>
      <c r="L4" s="22" t="s">
        <v>12</v>
      </c>
      <c r="M4" s="125"/>
      <c r="N4" s="112"/>
      <c r="O4" s="112"/>
      <c r="P4" s="112"/>
      <c r="Q4" s="112"/>
      <c r="R4" s="112"/>
      <c r="S4" s="112"/>
      <c r="T4" s="115"/>
      <c r="U4" s="104"/>
      <c r="V4" s="112" t="s">
        <v>11</v>
      </c>
      <c r="W4" s="104"/>
      <c r="X4" s="112"/>
      <c r="Y4" s="123"/>
      <c r="Z4" s="123"/>
      <c r="AA4" s="104"/>
      <c r="AB4" s="104"/>
      <c r="AC4" s="129"/>
      <c r="AD4" s="129"/>
      <c r="AE4" s="104"/>
      <c r="AF4" s="129"/>
      <c r="AG4" s="129"/>
      <c r="AH4" s="104"/>
      <c r="AI4" s="131"/>
      <c r="AJ4" s="123"/>
      <c r="AK4" s="112" t="s">
        <v>2</v>
      </c>
      <c r="AL4" s="133"/>
      <c r="AM4" s="112" t="s">
        <v>3</v>
      </c>
      <c r="AN4" s="91" t="s">
        <v>4</v>
      </c>
      <c r="AO4" s="91" t="s">
        <v>5</v>
      </c>
      <c r="AP4" s="91" t="s">
        <v>6</v>
      </c>
      <c r="AQ4" s="112" t="s">
        <v>3</v>
      </c>
      <c r="AR4" s="91" t="s">
        <v>5</v>
      </c>
      <c r="AS4" s="91" t="s">
        <v>5</v>
      </c>
      <c r="AT4" s="104"/>
      <c r="AU4" s="91"/>
      <c r="AV4" s="109"/>
      <c r="AW4" s="110"/>
    </row>
    <row r="5" spans="1:49" s="4" customFormat="1" ht="19.399999999999999" customHeight="1">
      <c r="A5" s="18" t="s">
        <v>134</v>
      </c>
      <c r="B5" s="18" t="s">
        <v>417</v>
      </c>
      <c r="C5" s="19" t="s">
        <v>127</v>
      </c>
      <c r="D5" s="19" t="s">
        <v>127</v>
      </c>
      <c r="E5" s="19" t="s">
        <v>434</v>
      </c>
      <c r="F5" s="58">
        <v>8</v>
      </c>
      <c r="G5" s="43">
        <v>17</v>
      </c>
      <c r="H5" s="44">
        <v>48.8</v>
      </c>
      <c r="I5" s="44" t="s">
        <v>38</v>
      </c>
      <c r="J5" s="43">
        <v>115</v>
      </c>
      <c r="K5" s="44">
        <v>52.9</v>
      </c>
      <c r="L5" s="44" t="s">
        <v>122</v>
      </c>
      <c r="M5" s="43" t="s">
        <v>115</v>
      </c>
      <c r="N5" s="45">
        <v>10</v>
      </c>
      <c r="O5" s="45">
        <v>3</v>
      </c>
      <c r="P5" s="45">
        <v>2</v>
      </c>
      <c r="Q5" s="45">
        <v>1</v>
      </c>
      <c r="R5" s="46">
        <v>3.95</v>
      </c>
      <c r="S5" s="46">
        <v>4.25</v>
      </c>
      <c r="T5" s="46">
        <v>286</v>
      </c>
      <c r="U5" s="47">
        <v>3014</v>
      </c>
      <c r="V5" s="23">
        <v>24</v>
      </c>
      <c r="W5" s="38">
        <v>8.1999999999999993</v>
      </c>
      <c r="X5" s="38">
        <v>15.8</v>
      </c>
      <c r="Y5" s="38">
        <v>0</v>
      </c>
      <c r="Z5" s="38">
        <v>0</v>
      </c>
      <c r="AA5" s="44">
        <v>65.7</v>
      </c>
      <c r="AB5" s="44">
        <v>2.7</v>
      </c>
      <c r="AC5" s="52" t="s">
        <v>132</v>
      </c>
      <c r="AD5" s="19" t="s">
        <v>435</v>
      </c>
      <c r="AE5" s="48"/>
      <c r="AF5" s="40" t="s">
        <v>304</v>
      </c>
      <c r="AG5" s="19" t="s">
        <v>436</v>
      </c>
      <c r="AH5" s="21">
        <v>1.5</v>
      </c>
      <c r="AI5" s="21">
        <v>2.5</v>
      </c>
      <c r="AJ5" s="21">
        <v>0</v>
      </c>
      <c r="AK5" s="21">
        <v>0</v>
      </c>
      <c r="AL5" s="24">
        <f>AH5+AI5+AJ5+AK5</f>
        <v>4</v>
      </c>
      <c r="AM5" s="12"/>
      <c r="AN5" s="12"/>
      <c r="AO5" s="12"/>
      <c r="AP5" s="12"/>
      <c r="AQ5" s="55">
        <v>223.6</v>
      </c>
      <c r="AR5" s="21"/>
      <c r="AS5" s="12">
        <v>264</v>
      </c>
      <c r="AT5" s="26"/>
      <c r="AU5" s="49"/>
      <c r="AV5" s="145"/>
      <c r="AW5" s="146"/>
    </row>
    <row r="6" spans="1:49" s="4" customFormat="1" ht="19.399999999999999" customHeight="1">
      <c r="A6" s="18" t="s">
        <v>134</v>
      </c>
      <c r="B6" s="18" t="s">
        <v>417</v>
      </c>
      <c r="C6" s="19" t="s">
        <v>127</v>
      </c>
      <c r="D6" s="19" t="s">
        <v>127</v>
      </c>
      <c r="E6" s="19" t="s">
        <v>438</v>
      </c>
      <c r="F6" s="58">
        <v>8</v>
      </c>
      <c r="G6" s="43">
        <v>18</v>
      </c>
      <c r="H6" s="44">
        <v>59.5</v>
      </c>
      <c r="I6" s="44" t="s">
        <v>38</v>
      </c>
      <c r="J6" s="43">
        <v>116</v>
      </c>
      <c r="K6" s="44">
        <v>48.5</v>
      </c>
      <c r="L6" s="44" t="s">
        <v>122</v>
      </c>
      <c r="M6" s="43" t="s">
        <v>115</v>
      </c>
      <c r="N6" s="45">
        <v>10</v>
      </c>
      <c r="O6" s="45">
        <v>3</v>
      </c>
      <c r="P6" s="45">
        <v>2</v>
      </c>
      <c r="Q6" s="45">
        <v>1</v>
      </c>
      <c r="R6" s="46">
        <v>3.95</v>
      </c>
      <c r="S6" s="46">
        <v>4.25</v>
      </c>
      <c r="T6" s="46">
        <v>286</v>
      </c>
      <c r="U6" s="47">
        <v>3014</v>
      </c>
      <c r="V6" s="23">
        <v>24</v>
      </c>
      <c r="W6" s="38">
        <v>5.2</v>
      </c>
      <c r="X6" s="38">
        <v>12.8</v>
      </c>
      <c r="Y6" s="38">
        <v>0</v>
      </c>
      <c r="Z6" s="38">
        <v>0</v>
      </c>
      <c r="AA6" s="44">
        <v>100.9</v>
      </c>
      <c r="AB6" s="44">
        <v>4.2</v>
      </c>
      <c r="AC6" s="52" t="s">
        <v>130</v>
      </c>
      <c r="AD6" s="19" t="s">
        <v>437</v>
      </c>
      <c r="AE6" s="40"/>
      <c r="AF6" s="40" t="s">
        <v>146</v>
      </c>
      <c r="AG6" s="19" t="s">
        <v>137</v>
      </c>
      <c r="AH6" s="21">
        <v>3.3</v>
      </c>
      <c r="AI6" s="21">
        <v>2.5</v>
      </c>
      <c r="AJ6" s="21">
        <v>0</v>
      </c>
      <c r="AK6" s="21">
        <v>0</v>
      </c>
      <c r="AL6" s="24">
        <v>5.3</v>
      </c>
      <c r="AM6" s="12"/>
      <c r="AN6" s="12"/>
      <c r="AO6" s="12"/>
      <c r="AP6" s="12"/>
      <c r="AQ6" s="55">
        <f t="shared" ref="AQ6:AQ20" si="0">SUM(AQ5-AL6)</f>
        <v>218.29999999999998</v>
      </c>
      <c r="AR6" s="21"/>
      <c r="AS6" s="12">
        <v>255</v>
      </c>
      <c r="AT6" s="26"/>
      <c r="AU6" s="49"/>
      <c r="AV6" s="136"/>
      <c r="AW6" s="137"/>
    </row>
    <row r="7" spans="1:49" s="4" customFormat="1" ht="19.399999999999999" customHeight="1">
      <c r="A7" s="18" t="s">
        <v>134</v>
      </c>
      <c r="B7" s="18" t="s">
        <v>417</v>
      </c>
      <c r="C7" s="19" t="s">
        <v>127</v>
      </c>
      <c r="D7" s="19" t="s">
        <v>127</v>
      </c>
      <c r="E7" s="19" t="s">
        <v>442</v>
      </c>
      <c r="F7" s="58">
        <v>8</v>
      </c>
      <c r="G7" s="43">
        <v>21</v>
      </c>
      <c r="H7" s="44">
        <v>24.1</v>
      </c>
      <c r="I7" s="44" t="s">
        <v>38</v>
      </c>
      <c r="J7" s="43">
        <v>118</v>
      </c>
      <c r="K7" s="44">
        <v>50.1</v>
      </c>
      <c r="L7" s="44" t="s">
        <v>122</v>
      </c>
      <c r="M7" s="43" t="s">
        <v>115</v>
      </c>
      <c r="N7" s="45">
        <v>10</v>
      </c>
      <c r="O7" s="45">
        <v>3</v>
      </c>
      <c r="P7" s="45">
        <v>3</v>
      </c>
      <c r="Q7" s="45">
        <v>1</v>
      </c>
      <c r="R7" s="46">
        <v>3.95</v>
      </c>
      <c r="S7" s="46">
        <v>4.25</v>
      </c>
      <c r="T7" s="46">
        <v>286</v>
      </c>
      <c r="U7" s="47">
        <v>3014</v>
      </c>
      <c r="V7" s="23">
        <v>24</v>
      </c>
      <c r="W7" s="38">
        <v>24</v>
      </c>
      <c r="X7" s="38">
        <v>0</v>
      </c>
      <c r="Y7" s="38">
        <v>0</v>
      </c>
      <c r="Z7" s="38">
        <v>0</v>
      </c>
      <c r="AA7" s="44">
        <v>184.6</v>
      </c>
      <c r="AB7" s="44">
        <v>7.7</v>
      </c>
      <c r="AC7" s="52" t="s">
        <v>130</v>
      </c>
      <c r="AD7" s="19" t="s">
        <v>439</v>
      </c>
      <c r="AE7" s="40"/>
      <c r="AF7" s="40" t="s">
        <v>440</v>
      </c>
      <c r="AG7" s="19" t="s">
        <v>441</v>
      </c>
      <c r="AH7" s="21">
        <v>5</v>
      </c>
      <c r="AI7" s="21">
        <v>0</v>
      </c>
      <c r="AJ7" s="21">
        <v>0</v>
      </c>
      <c r="AK7" s="21">
        <v>0</v>
      </c>
      <c r="AL7" s="24">
        <f>SUM(AH7:AK7)</f>
        <v>5</v>
      </c>
      <c r="AM7" s="12"/>
      <c r="AN7" s="12"/>
      <c r="AO7" s="12"/>
      <c r="AP7" s="12"/>
      <c r="AQ7" s="55">
        <f t="shared" si="0"/>
        <v>213.29999999999998</v>
      </c>
      <c r="AR7" s="21"/>
      <c r="AS7" s="12">
        <v>248</v>
      </c>
      <c r="AT7" s="26"/>
      <c r="AU7" s="49"/>
      <c r="AV7" s="136"/>
      <c r="AW7" s="137"/>
    </row>
    <row r="8" spans="1:49" s="4" customFormat="1" ht="19.399999999999999" customHeight="1">
      <c r="A8" s="18" t="s">
        <v>134</v>
      </c>
      <c r="B8" s="18" t="s">
        <v>417</v>
      </c>
      <c r="C8" s="19" t="s">
        <v>127</v>
      </c>
      <c r="D8" s="19" t="s">
        <v>127</v>
      </c>
      <c r="E8" s="19" t="s">
        <v>443</v>
      </c>
      <c r="F8" s="58">
        <v>8</v>
      </c>
      <c r="G8" s="43">
        <v>22</v>
      </c>
      <c r="H8" s="44">
        <v>58.3</v>
      </c>
      <c r="I8" s="44" t="s">
        <v>38</v>
      </c>
      <c r="J8" s="43">
        <v>120</v>
      </c>
      <c r="K8" s="44">
        <v>10.4</v>
      </c>
      <c r="L8" s="44" t="s">
        <v>122</v>
      </c>
      <c r="M8" s="43" t="s">
        <v>115</v>
      </c>
      <c r="N8" s="45">
        <v>10</v>
      </c>
      <c r="O8" s="45">
        <v>3</v>
      </c>
      <c r="P8" s="45">
        <v>1</v>
      </c>
      <c r="Q8" s="45">
        <v>1</v>
      </c>
      <c r="R8" s="46">
        <v>3.95</v>
      </c>
      <c r="S8" s="46">
        <v>4.25</v>
      </c>
      <c r="T8" s="46">
        <v>286</v>
      </c>
      <c r="U8" s="47">
        <v>3014</v>
      </c>
      <c r="V8" s="23">
        <v>24</v>
      </c>
      <c r="W8" s="38">
        <v>20.399999999999999</v>
      </c>
      <c r="X8" s="38">
        <v>1</v>
      </c>
      <c r="Y8" s="38">
        <v>2.6</v>
      </c>
      <c r="Z8" s="38">
        <v>0</v>
      </c>
      <c r="AA8" s="44">
        <v>123.7</v>
      </c>
      <c r="AB8" s="44">
        <v>5.0999999999999996</v>
      </c>
      <c r="AC8" s="52" t="s">
        <v>113</v>
      </c>
      <c r="AD8" s="19">
        <v>222</v>
      </c>
      <c r="AE8" s="40"/>
      <c r="AF8" s="40">
        <v>0</v>
      </c>
      <c r="AG8" s="19">
        <v>0</v>
      </c>
      <c r="AH8" s="21">
        <v>4.3</v>
      </c>
      <c r="AI8" s="21">
        <v>0.1</v>
      </c>
      <c r="AJ8" s="21">
        <v>0.2</v>
      </c>
      <c r="AK8" s="21">
        <v>0</v>
      </c>
      <c r="AL8" s="24">
        <f>SUM(AH8:AK8)</f>
        <v>4.5999999999999996</v>
      </c>
      <c r="AM8" s="12"/>
      <c r="AN8" s="12"/>
      <c r="AO8" s="12"/>
      <c r="AP8" s="12"/>
      <c r="AQ8" s="55">
        <f t="shared" si="0"/>
        <v>208.7</v>
      </c>
      <c r="AR8" s="21"/>
      <c r="AS8" s="12">
        <v>246</v>
      </c>
      <c r="AT8" s="26"/>
      <c r="AU8" s="49"/>
      <c r="AV8" s="136"/>
      <c r="AW8" s="137"/>
    </row>
    <row r="9" spans="1:49" s="4" customFormat="1" ht="19.399999999999999" customHeight="1">
      <c r="A9" s="18" t="s">
        <v>134</v>
      </c>
      <c r="B9" s="18" t="s">
        <v>417</v>
      </c>
      <c r="C9" s="19" t="s">
        <v>127</v>
      </c>
      <c r="D9" s="19" t="s">
        <v>127</v>
      </c>
      <c r="E9" s="19" t="s">
        <v>444</v>
      </c>
      <c r="F9" s="58">
        <v>8</v>
      </c>
      <c r="G9" s="43">
        <v>22</v>
      </c>
      <c r="H9" s="44">
        <v>58.3</v>
      </c>
      <c r="I9" s="44" t="s">
        <v>38</v>
      </c>
      <c r="J9" s="43">
        <v>120</v>
      </c>
      <c r="K9" s="44">
        <v>10.4</v>
      </c>
      <c r="L9" s="44" t="s">
        <v>122</v>
      </c>
      <c r="M9" s="43" t="s">
        <v>115</v>
      </c>
      <c r="N9" s="45">
        <v>10</v>
      </c>
      <c r="O9" s="45">
        <v>3</v>
      </c>
      <c r="P9" s="45">
        <v>1</v>
      </c>
      <c r="Q9" s="45">
        <v>1</v>
      </c>
      <c r="R9" s="46">
        <v>3.95</v>
      </c>
      <c r="S9" s="46">
        <v>4.25</v>
      </c>
      <c r="T9" s="46">
        <v>286</v>
      </c>
      <c r="U9" s="47">
        <v>3014</v>
      </c>
      <c r="V9" s="23">
        <v>24</v>
      </c>
      <c r="W9" s="38">
        <v>0</v>
      </c>
      <c r="X9" s="38">
        <v>0</v>
      </c>
      <c r="Y9" s="38">
        <v>24</v>
      </c>
      <c r="Z9" s="38">
        <v>0</v>
      </c>
      <c r="AA9" s="44">
        <v>0</v>
      </c>
      <c r="AB9" s="44">
        <v>0</v>
      </c>
      <c r="AC9" s="52" t="s">
        <v>113</v>
      </c>
      <c r="AD9" s="19">
        <v>200</v>
      </c>
      <c r="AE9" s="40"/>
      <c r="AF9" s="40">
        <v>0</v>
      </c>
      <c r="AG9" s="19">
        <v>0</v>
      </c>
      <c r="AH9" s="21">
        <v>0</v>
      </c>
      <c r="AI9" s="21">
        <v>0</v>
      </c>
      <c r="AJ9" s="21">
        <v>1.5</v>
      </c>
      <c r="AK9" s="21">
        <v>0</v>
      </c>
      <c r="AL9" s="24">
        <f>SUM(AH9:AK9)</f>
        <v>1.5</v>
      </c>
      <c r="AM9" s="12"/>
      <c r="AN9" s="12"/>
      <c r="AO9" s="12"/>
      <c r="AP9" s="12"/>
      <c r="AQ9" s="55">
        <f t="shared" si="0"/>
        <v>207.2</v>
      </c>
      <c r="AR9" s="21"/>
      <c r="AS9" s="12">
        <v>240</v>
      </c>
      <c r="AT9" s="26"/>
      <c r="AU9" s="49"/>
      <c r="AV9" s="136"/>
      <c r="AW9" s="137"/>
    </row>
    <row r="10" spans="1:49" s="4" customFormat="1" ht="19.399999999999999" customHeight="1">
      <c r="A10" s="18" t="s">
        <v>134</v>
      </c>
      <c r="B10" s="18" t="s">
        <v>417</v>
      </c>
      <c r="C10" s="19" t="s">
        <v>127</v>
      </c>
      <c r="D10" s="19" t="s">
        <v>127</v>
      </c>
      <c r="E10" s="19" t="s">
        <v>445</v>
      </c>
      <c r="F10" s="58">
        <v>8</v>
      </c>
      <c r="G10" s="43">
        <v>22</v>
      </c>
      <c r="H10" s="44">
        <v>58.3</v>
      </c>
      <c r="I10" s="44" t="s">
        <v>38</v>
      </c>
      <c r="J10" s="43">
        <v>120</v>
      </c>
      <c r="K10" s="44">
        <v>10.4</v>
      </c>
      <c r="L10" s="44" t="s">
        <v>122</v>
      </c>
      <c r="M10" s="43" t="s">
        <v>115</v>
      </c>
      <c r="N10" s="45">
        <v>10</v>
      </c>
      <c r="O10" s="45">
        <v>3</v>
      </c>
      <c r="P10" s="45">
        <v>1</v>
      </c>
      <c r="Q10" s="45">
        <v>1</v>
      </c>
      <c r="R10" s="46">
        <v>3.95</v>
      </c>
      <c r="S10" s="46">
        <v>4.25</v>
      </c>
      <c r="T10" s="46">
        <v>286</v>
      </c>
      <c r="U10" s="47">
        <v>3014</v>
      </c>
      <c r="V10" s="23">
        <v>24</v>
      </c>
      <c r="W10" s="38">
        <v>0</v>
      </c>
      <c r="X10" s="38">
        <v>0</v>
      </c>
      <c r="Y10" s="38">
        <v>24</v>
      </c>
      <c r="Z10" s="38">
        <v>0</v>
      </c>
      <c r="AA10" s="44">
        <v>0</v>
      </c>
      <c r="AB10" s="44">
        <v>0</v>
      </c>
      <c r="AC10" s="52" t="s">
        <v>113</v>
      </c>
      <c r="AD10" s="19">
        <v>202</v>
      </c>
      <c r="AE10" s="40"/>
      <c r="AF10" s="40">
        <v>0</v>
      </c>
      <c r="AG10" s="19">
        <v>0</v>
      </c>
      <c r="AH10" s="21">
        <v>0</v>
      </c>
      <c r="AI10" s="21">
        <v>0</v>
      </c>
      <c r="AJ10" s="21">
        <v>1.4</v>
      </c>
      <c r="AK10" s="21">
        <v>0</v>
      </c>
      <c r="AL10" s="24">
        <f t="shared" ref="AL10:AL100" si="1">SUM(AH10:AK10)</f>
        <v>1.4</v>
      </c>
      <c r="AM10" s="12"/>
      <c r="AN10" s="12"/>
      <c r="AO10" s="12"/>
      <c r="AP10" s="12"/>
      <c r="AQ10" s="55">
        <f t="shared" si="0"/>
        <v>205.79999999999998</v>
      </c>
      <c r="AR10" s="21"/>
      <c r="AS10" s="12">
        <v>236</v>
      </c>
      <c r="AT10" s="26"/>
      <c r="AU10" s="49"/>
      <c r="AV10" s="136"/>
      <c r="AW10" s="137"/>
    </row>
    <row r="11" spans="1:49" s="4" customFormat="1" ht="19.399999999999999" customHeight="1">
      <c r="A11" s="18" t="s">
        <v>134</v>
      </c>
      <c r="B11" s="18" t="s">
        <v>417</v>
      </c>
      <c r="C11" s="19" t="s">
        <v>127</v>
      </c>
      <c r="D11" s="19" t="s">
        <v>127</v>
      </c>
      <c r="E11" s="19" t="s">
        <v>446</v>
      </c>
      <c r="F11" s="58">
        <v>8</v>
      </c>
      <c r="G11" s="43">
        <v>22</v>
      </c>
      <c r="H11" s="44">
        <v>58.3</v>
      </c>
      <c r="I11" s="44" t="s">
        <v>38</v>
      </c>
      <c r="J11" s="43">
        <v>120</v>
      </c>
      <c r="K11" s="44">
        <v>10.4</v>
      </c>
      <c r="L11" s="44" t="s">
        <v>122</v>
      </c>
      <c r="M11" s="43" t="s">
        <v>115</v>
      </c>
      <c r="N11" s="45">
        <v>10</v>
      </c>
      <c r="O11" s="45">
        <v>3</v>
      </c>
      <c r="P11" s="45">
        <v>1</v>
      </c>
      <c r="Q11" s="45">
        <v>1</v>
      </c>
      <c r="R11" s="46">
        <v>3.95</v>
      </c>
      <c r="S11" s="46">
        <v>4.25</v>
      </c>
      <c r="T11" s="46">
        <v>286</v>
      </c>
      <c r="U11" s="47">
        <v>3014</v>
      </c>
      <c r="V11" s="23">
        <v>24</v>
      </c>
      <c r="W11" s="38">
        <v>0</v>
      </c>
      <c r="X11" s="38">
        <v>0</v>
      </c>
      <c r="Y11" s="38">
        <v>24</v>
      </c>
      <c r="Z11" s="38">
        <v>0</v>
      </c>
      <c r="AA11" s="44">
        <v>0</v>
      </c>
      <c r="AB11" s="44">
        <v>0</v>
      </c>
      <c r="AC11" s="52" t="s">
        <v>113</v>
      </c>
      <c r="AD11" s="19">
        <v>231</v>
      </c>
      <c r="AE11" s="40"/>
      <c r="AF11" s="40">
        <v>0</v>
      </c>
      <c r="AG11" s="19">
        <v>0</v>
      </c>
      <c r="AH11" s="21">
        <v>0</v>
      </c>
      <c r="AI11" s="21">
        <v>0</v>
      </c>
      <c r="AJ11" s="21">
        <v>1.5</v>
      </c>
      <c r="AK11" s="21">
        <v>0</v>
      </c>
      <c r="AL11" s="24">
        <f t="shared" si="1"/>
        <v>1.5</v>
      </c>
      <c r="AM11" s="12"/>
      <c r="AN11" s="12"/>
      <c r="AO11" s="12"/>
      <c r="AP11" s="12"/>
      <c r="AQ11" s="55">
        <f t="shared" si="0"/>
        <v>204.29999999999998</v>
      </c>
      <c r="AR11" s="21"/>
      <c r="AS11" s="12">
        <v>231</v>
      </c>
      <c r="AT11" s="26"/>
      <c r="AU11" s="49"/>
      <c r="AV11" s="136"/>
      <c r="AW11" s="137"/>
    </row>
    <row r="12" spans="1:49" s="4" customFormat="1" ht="19.399999999999999" customHeight="1">
      <c r="A12" s="18" t="s">
        <v>134</v>
      </c>
      <c r="B12" s="18" t="s">
        <v>417</v>
      </c>
      <c r="C12" s="19" t="s">
        <v>127</v>
      </c>
      <c r="D12" s="19" t="s">
        <v>127</v>
      </c>
      <c r="E12" s="19" t="s">
        <v>447</v>
      </c>
      <c r="F12" s="58">
        <v>8</v>
      </c>
      <c r="G12" s="43">
        <v>22</v>
      </c>
      <c r="H12" s="44">
        <v>58.3</v>
      </c>
      <c r="I12" s="44" t="s">
        <v>38</v>
      </c>
      <c r="J12" s="43">
        <v>120</v>
      </c>
      <c r="K12" s="44">
        <v>10.4</v>
      </c>
      <c r="L12" s="44" t="s">
        <v>122</v>
      </c>
      <c r="M12" s="43" t="s">
        <v>115</v>
      </c>
      <c r="N12" s="45">
        <v>10</v>
      </c>
      <c r="O12" s="45">
        <v>3</v>
      </c>
      <c r="P12" s="45">
        <v>1</v>
      </c>
      <c r="Q12" s="45">
        <v>1</v>
      </c>
      <c r="R12" s="46">
        <v>3.95</v>
      </c>
      <c r="S12" s="46">
        <v>4.25</v>
      </c>
      <c r="T12" s="46">
        <v>286</v>
      </c>
      <c r="U12" s="47">
        <v>3014</v>
      </c>
      <c r="V12" s="23">
        <v>24</v>
      </c>
      <c r="W12" s="38">
        <v>0</v>
      </c>
      <c r="X12" s="38">
        <v>0</v>
      </c>
      <c r="Y12" s="38">
        <v>24</v>
      </c>
      <c r="Z12" s="38">
        <v>0</v>
      </c>
      <c r="AA12" s="44">
        <v>0</v>
      </c>
      <c r="AB12" s="44">
        <v>0</v>
      </c>
      <c r="AC12" s="52" t="s">
        <v>113</v>
      </c>
      <c r="AD12" s="19">
        <v>221</v>
      </c>
      <c r="AE12" s="40"/>
      <c r="AF12" s="40">
        <v>0</v>
      </c>
      <c r="AG12" s="19">
        <v>0</v>
      </c>
      <c r="AH12" s="21">
        <v>0</v>
      </c>
      <c r="AI12" s="21">
        <v>0</v>
      </c>
      <c r="AJ12" s="21">
        <v>2.1</v>
      </c>
      <c r="AK12" s="21">
        <v>0</v>
      </c>
      <c r="AL12" s="24">
        <f t="shared" si="1"/>
        <v>2.1</v>
      </c>
      <c r="AM12" s="12"/>
      <c r="AN12" s="12"/>
      <c r="AO12" s="12"/>
      <c r="AP12" s="12"/>
      <c r="AQ12" s="55">
        <f t="shared" si="0"/>
        <v>202.2</v>
      </c>
      <c r="AR12" s="21"/>
      <c r="AS12" s="12">
        <v>322</v>
      </c>
      <c r="AT12" s="26"/>
      <c r="AU12" s="49"/>
      <c r="AV12" s="136"/>
      <c r="AW12" s="137"/>
    </row>
    <row r="13" spans="1:49" s="4" customFormat="1" ht="19.399999999999999" customHeight="1">
      <c r="A13" s="18" t="s">
        <v>134</v>
      </c>
      <c r="B13" s="18" t="s">
        <v>417</v>
      </c>
      <c r="C13" s="19" t="s">
        <v>127</v>
      </c>
      <c r="D13" s="19" t="s">
        <v>127</v>
      </c>
      <c r="E13" s="19" t="s">
        <v>448</v>
      </c>
      <c r="F13" s="58">
        <v>8</v>
      </c>
      <c r="G13" s="43">
        <v>22</v>
      </c>
      <c r="H13" s="44">
        <v>58.3</v>
      </c>
      <c r="I13" s="44" t="s">
        <v>38</v>
      </c>
      <c r="J13" s="43">
        <v>120</v>
      </c>
      <c r="K13" s="44">
        <v>10.4</v>
      </c>
      <c r="L13" s="44" t="s">
        <v>122</v>
      </c>
      <c r="M13" s="43" t="s">
        <v>115</v>
      </c>
      <c r="N13" s="45">
        <v>10</v>
      </c>
      <c r="O13" s="45">
        <v>3</v>
      </c>
      <c r="P13" s="45">
        <v>1</v>
      </c>
      <c r="Q13" s="45">
        <v>1</v>
      </c>
      <c r="R13" s="46">
        <v>3.95</v>
      </c>
      <c r="S13" s="46">
        <v>4.25</v>
      </c>
      <c r="T13" s="46">
        <v>286</v>
      </c>
      <c r="U13" s="47">
        <v>3014</v>
      </c>
      <c r="V13" s="23">
        <v>24</v>
      </c>
      <c r="W13" s="38">
        <v>0</v>
      </c>
      <c r="X13" s="38">
        <v>0</v>
      </c>
      <c r="Y13" s="38">
        <v>24</v>
      </c>
      <c r="Z13" s="38">
        <v>0</v>
      </c>
      <c r="AA13" s="44">
        <v>0</v>
      </c>
      <c r="AB13" s="44">
        <v>0</v>
      </c>
      <c r="AC13" s="52" t="s">
        <v>119</v>
      </c>
      <c r="AD13" s="19">
        <v>229</v>
      </c>
      <c r="AE13" s="40"/>
      <c r="AF13" s="40">
        <v>0</v>
      </c>
      <c r="AG13" s="19">
        <v>0</v>
      </c>
      <c r="AH13" s="21">
        <v>0</v>
      </c>
      <c r="AI13" s="21">
        <v>0</v>
      </c>
      <c r="AJ13" s="21">
        <v>2</v>
      </c>
      <c r="AK13" s="21">
        <v>0</v>
      </c>
      <c r="AL13" s="24">
        <f t="shared" si="1"/>
        <v>2</v>
      </c>
      <c r="AM13" s="12"/>
      <c r="AN13" s="12"/>
      <c r="AO13" s="12"/>
      <c r="AP13" s="12"/>
      <c r="AQ13" s="55">
        <f t="shared" si="0"/>
        <v>200.2</v>
      </c>
      <c r="AR13" s="21"/>
      <c r="AS13" s="12">
        <v>319</v>
      </c>
      <c r="AT13" s="26"/>
      <c r="AU13" s="49"/>
      <c r="AV13" s="136"/>
      <c r="AW13" s="137"/>
    </row>
    <row r="14" spans="1:49" s="4" customFormat="1" ht="19.399999999999999" customHeight="1">
      <c r="A14" s="18" t="s">
        <v>134</v>
      </c>
      <c r="B14" s="18" t="s">
        <v>451</v>
      </c>
      <c r="C14" s="19" t="s">
        <v>127</v>
      </c>
      <c r="D14" s="19" t="s">
        <v>452</v>
      </c>
      <c r="E14" s="19" t="s">
        <v>453</v>
      </c>
      <c r="F14" s="58">
        <v>8</v>
      </c>
      <c r="G14" s="43">
        <v>22</v>
      </c>
      <c r="H14" s="44">
        <v>38.5</v>
      </c>
      <c r="I14" s="44" t="s">
        <v>38</v>
      </c>
      <c r="J14" s="43">
        <v>121</v>
      </c>
      <c r="K14" s="44">
        <v>40.799999999999997</v>
      </c>
      <c r="L14" s="44" t="s">
        <v>122</v>
      </c>
      <c r="M14" s="43" t="s">
        <v>115</v>
      </c>
      <c r="N14" s="45">
        <v>4</v>
      </c>
      <c r="O14" s="45">
        <v>2</v>
      </c>
      <c r="P14" s="45">
        <v>1</v>
      </c>
      <c r="Q14" s="45">
        <v>1</v>
      </c>
      <c r="R14" s="46">
        <v>3.95</v>
      </c>
      <c r="S14" s="46">
        <v>4.25</v>
      </c>
      <c r="T14" s="46">
        <v>286</v>
      </c>
      <c r="U14" s="47">
        <v>2974</v>
      </c>
      <c r="V14" s="23">
        <v>24</v>
      </c>
      <c r="W14" s="38">
        <v>13.4</v>
      </c>
      <c r="X14" s="38">
        <v>9.8000000000000007</v>
      </c>
      <c r="Y14" s="38">
        <v>0.8</v>
      </c>
      <c r="Z14" s="38">
        <v>0</v>
      </c>
      <c r="AA14" s="44">
        <v>161.19999999999999</v>
      </c>
      <c r="AB14" s="44">
        <f>AA14/24</f>
        <v>6.7166666666666659</v>
      </c>
      <c r="AC14" s="52" t="s">
        <v>131</v>
      </c>
      <c r="AD14" s="19" t="s">
        <v>449</v>
      </c>
      <c r="AE14" s="40"/>
      <c r="AF14" s="19" t="s">
        <v>450</v>
      </c>
      <c r="AG14" s="19" t="s">
        <v>304</v>
      </c>
      <c r="AH14" s="21">
        <v>3</v>
      </c>
      <c r="AI14" s="21">
        <v>1.8</v>
      </c>
      <c r="AJ14" s="21">
        <v>0.1</v>
      </c>
      <c r="AK14" s="21">
        <v>0</v>
      </c>
      <c r="AL14" s="24">
        <f t="shared" si="1"/>
        <v>4.8999999999999995</v>
      </c>
      <c r="AM14" s="12"/>
      <c r="AN14" s="12"/>
      <c r="AO14" s="12"/>
      <c r="AP14" s="12"/>
      <c r="AQ14" s="55">
        <f t="shared" si="0"/>
        <v>195.29999999999998</v>
      </c>
      <c r="AR14" s="21"/>
      <c r="AS14" s="12">
        <v>312</v>
      </c>
      <c r="AT14" s="26"/>
      <c r="AU14" s="49"/>
      <c r="AV14" s="136"/>
      <c r="AW14" s="137"/>
    </row>
    <row r="15" spans="1:49" s="4" customFormat="1" ht="19.399999999999999" customHeight="1">
      <c r="A15" s="18" t="s">
        <v>134</v>
      </c>
      <c r="B15" s="18" t="s">
        <v>451</v>
      </c>
      <c r="C15" s="19" t="s">
        <v>127</v>
      </c>
      <c r="D15" s="19" t="s">
        <v>248</v>
      </c>
      <c r="E15" s="19" t="s">
        <v>455</v>
      </c>
      <c r="F15" s="58">
        <v>8</v>
      </c>
      <c r="G15" s="43">
        <v>22</v>
      </c>
      <c r="H15" s="44">
        <v>55.9</v>
      </c>
      <c r="I15" s="44" t="s">
        <v>38</v>
      </c>
      <c r="J15" s="43">
        <v>121</v>
      </c>
      <c r="K15" s="44">
        <v>55.4</v>
      </c>
      <c r="L15" s="44" t="s">
        <v>122</v>
      </c>
      <c r="M15" s="43" t="s">
        <v>115</v>
      </c>
      <c r="N15" s="45">
        <v>4</v>
      </c>
      <c r="O15" s="45">
        <v>2</v>
      </c>
      <c r="P15" s="45">
        <v>1</v>
      </c>
      <c r="Q15" s="45">
        <v>1</v>
      </c>
      <c r="R15" s="46">
        <v>3.95</v>
      </c>
      <c r="S15" s="46">
        <v>4.25</v>
      </c>
      <c r="T15" s="46">
        <v>286</v>
      </c>
      <c r="U15" s="47">
        <v>2974</v>
      </c>
      <c r="V15" s="23">
        <v>24</v>
      </c>
      <c r="W15" s="38">
        <v>0</v>
      </c>
      <c r="X15" s="38">
        <v>24</v>
      </c>
      <c r="Y15" s="38">
        <v>0</v>
      </c>
      <c r="Z15" s="38">
        <v>0</v>
      </c>
      <c r="AA15" s="44">
        <v>112.4</v>
      </c>
      <c r="AB15" s="44">
        <f t="shared" ref="AB15" si="2">AA15/24</f>
        <v>4.6833333333333336</v>
      </c>
      <c r="AC15" s="52" t="s">
        <v>131</v>
      </c>
      <c r="AD15" s="19" t="s">
        <v>454</v>
      </c>
      <c r="AE15" s="48"/>
      <c r="AF15" s="40" t="s">
        <v>160</v>
      </c>
      <c r="AG15" s="19" t="s">
        <v>146</v>
      </c>
      <c r="AH15" s="21">
        <v>0</v>
      </c>
      <c r="AI15" s="21">
        <v>4.5999999999999996</v>
      </c>
      <c r="AJ15" s="21">
        <v>0</v>
      </c>
      <c r="AK15" s="21">
        <v>0</v>
      </c>
      <c r="AL15" s="24">
        <f t="shared" si="1"/>
        <v>4.5999999999999996</v>
      </c>
      <c r="AM15" s="12"/>
      <c r="AN15" s="12"/>
      <c r="AO15" s="12"/>
      <c r="AP15" s="12"/>
      <c r="AQ15" s="55">
        <f t="shared" si="0"/>
        <v>190.7</v>
      </c>
      <c r="AR15" s="21"/>
      <c r="AS15" s="12">
        <v>302</v>
      </c>
      <c r="AT15" s="26"/>
      <c r="AU15" s="49"/>
      <c r="AV15" s="136"/>
      <c r="AW15" s="137"/>
    </row>
    <row r="16" spans="1:49" s="4" customFormat="1" ht="19.399999999999999" customHeight="1">
      <c r="A16" s="18" t="s">
        <v>134</v>
      </c>
      <c r="B16" s="18" t="s">
        <v>451</v>
      </c>
      <c r="C16" s="19" t="s">
        <v>127</v>
      </c>
      <c r="E16" s="19" t="s">
        <v>459</v>
      </c>
      <c r="F16" s="58">
        <v>8</v>
      </c>
      <c r="G16" s="43">
        <v>22</v>
      </c>
      <c r="H16" s="44">
        <v>53.7</v>
      </c>
      <c r="I16" s="44" t="s">
        <v>38</v>
      </c>
      <c r="J16" s="43">
        <v>121</v>
      </c>
      <c r="K16" s="44">
        <v>19.399999999999999</v>
      </c>
      <c r="L16" s="44" t="s">
        <v>122</v>
      </c>
      <c r="M16" s="43" t="s">
        <v>115</v>
      </c>
      <c r="N16" s="45">
        <v>4</v>
      </c>
      <c r="O16" s="45">
        <v>2</v>
      </c>
      <c r="P16" s="45">
        <v>1</v>
      </c>
      <c r="Q16" s="45">
        <v>1</v>
      </c>
      <c r="R16" s="46">
        <v>3.95</v>
      </c>
      <c r="S16" s="46">
        <v>4.25</v>
      </c>
      <c r="T16" s="46">
        <v>286</v>
      </c>
      <c r="U16" s="47">
        <v>2974</v>
      </c>
      <c r="V16" s="23">
        <v>24</v>
      </c>
      <c r="W16" s="38">
        <v>0</v>
      </c>
      <c r="X16" s="38">
        <v>24</v>
      </c>
      <c r="Y16" s="38">
        <v>0</v>
      </c>
      <c r="Z16" s="38">
        <v>0</v>
      </c>
      <c r="AA16" s="44">
        <v>104.1</v>
      </c>
      <c r="AB16" s="44">
        <f t="shared" ref="AB16" si="3">AA16/24</f>
        <v>4.3374999999999995</v>
      </c>
      <c r="AC16" s="52" t="s">
        <v>131</v>
      </c>
      <c r="AD16" s="19" t="s">
        <v>456</v>
      </c>
      <c r="AE16" s="48"/>
      <c r="AF16" s="40" t="s">
        <v>457</v>
      </c>
      <c r="AG16" s="19" t="s">
        <v>458</v>
      </c>
      <c r="AH16" s="21">
        <v>0</v>
      </c>
      <c r="AI16" s="21">
        <v>4.5999999999999996</v>
      </c>
      <c r="AJ16" s="21">
        <v>0</v>
      </c>
      <c r="AK16" s="21">
        <v>0</v>
      </c>
      <c r="AL16" s="24">
        <f t="shared" si="1"/>
        <v>4.5999999999999996</v>
      </c>
      <c r="AM16" s="12"/>
      <c r="AN16" s="12"/>
      <c r="AO16" s="12"/>
      <c r="AP16" s="12"/>
      <c r="AQ16" s="55">
        <f t="shared" si="0"/>
        <v>186.1</v>
      </c>
      <c r="AR16" s="21"/>
      <c r="AS16" s="12">
        <v>294</v>
      </c>
      <c r="AT16" s="26"/>
      <c r="AU16" s="49"/>
      <c r="AV16" s="136"/>
      <c r="AW16" s="137"/>
    </row>
    <row r="17" spans="1:49" s="4" customFormat="1" ht="19.399999999999999" customHeight="1">
      <c r="A17" s="18" t="s">
        <v>134</v>
      </c>
      <c r="B17" s="18" t="s">
        <v>451</v>
      </c>
      <c r="C17" s="19" t="s">
        <v>127</v>
      </c>
      <c r="D17" s="19" t="s">
        <v>171</v>
      </c>
      <c r="E17" s="19" t="s">
        <v>461</v>
      </c>
      <c r="F17" s="58">
        <v>8</v>
      </c>
      <c r="G17" s="43">
        <v>22</v>
      </c>
      <c r="H17" s="44">
        <v>53.9</v>
      </c>
      <c r="I17" s="44" t="s">
        <v>38</v>
      </c>
      <c r="J17" s="43">
        <v>121</v>
      </c>
      <c r="K17" s="44">
        <v>17.8</v>
      </c>
      <c r="L17" s="44" t="s">
        <v>122</v>
      </c>
      <c r="M17" s="43" t="s">
        <v>115</v>
      </c>
      <c r="N17" s="45">
        <v>4</v>
      </c>
      <c r="O17" s="45">
        <v>4</v>
      </c>
      <c r="P17" s="45">
        <v>3</v>
      </c>
      <c r="Q17" s="45">
        <v>1</v>
      </c>
      <c r="R17" s="46">
        <v>3.95</v>
      </c>
      <c r="S17" s="46">
        <v>4.25</v>
      </c>
      <c r="T17" s="46">
        <v>286</v>
      </c>
      <c r="U17" s="47">
        <v>2974</v>
      </c>
      <c r="V17" s="23">
        <v>24</v>
      </c>
      <c r="W17" s="38">
        <v>0</v>
      </c>
      <c r="X17" s="38">
        <v>24</v>
      </c>
      <c r="Y17" s="38">
        <v>0</v>
      </c>
      <c r="Z17" s="38">
        <v>0</v>
      </c>
      <c r="AA17" s="44">
        <v>98</v>
      </c>
      <c r="AB17" s="44">
        <f t="shared" ref="AB17" si="4">AA17/24</f>
        <v>4.083333333333333</v>
      </c>
      <c r="AC17" s="52" t="s">
        <v>131</v>
      </c>
      <c r="AD17" s="19" t="s">
        <v>460</v>
      </c>
      <c r="AE17" s="48"/>
      <c r="AF17" s="40" t="s">
        <v>136</v>
      </c>
      <c r="AG17" s="19" t="s">
        <v>210</v>
      </c>
      <c r="AH17" s="21">
        <v>0</v>
      </c>
      <c r="AI17" s="21">
        <v>4.4000000000000004</v>
      </c>
      <c r="AJ17" s="21">
        <v>0</v>
      </c>
      <c r="AK17" s="21">
        <v>0</v>
      </c>
      <c r="AL17" s="24">
        <f t="shared" si="1"/>
        <v>4.4000000000000004</v>
      </c>
      <c r="AM17" s="12"/>
      <c r="AN17" s="12"/>
      <c r="AO17" s="12"/>
      <c r="AP17" s="12"/>
      <c r="AQ17" s="55">
        <f t="shared" si="0"/>
        <v>181.7</v>
      </c>
      <c r="AR17" s="21"/>
      <c r="AS17" s="12">
        <v>284</v>
      </c>
      <c r="AT17" s="26"/>
      <c r="AU17" s="49"/>
      <c r="AV17" s="136"/>
      <c r="AW17" s="137"/>
    </row>
    <row r="18" spans="1:49" s="4" customFormat="1" ht="19.399999999999999" customHeight="1">
      <c r="A18" s="18" t="s">
        <v>134</v>
      </c>
      <c r="B18" s="18" t="s">
        <v>451</v>
      </c>
      <c r="C18" s="19" t="s">
        <v>127</v>
      </c>
      <c r="D18" s="19" t="s">
        <v>171</v>
      </c>
      <c r="E18" s="19" t="s">
        <v>465</v>
      </c>
      <c r="F18" s="58">
        <v>8</v>
      </c>
      <c r="G18" s="43">
        <v>22</v>
      </c>
      <c r="H18" s="44">
        <v>59.1</v>
      </c>
      <c r="I18" s="44" t="s">
        <v>38</v>
      </c>
      <c r="J18" s="43">
        <v>121</v>
      </c>
      <c r="K18" s="44">
        <v>25</v>
      </c>
      <c r="L18" s="44" t="s">
        <v>122</v>
      </c>
      <c r="M18" s="43" t="s">
        <v>115</v>
      </c>
      <c r="N18" s="45">
        <v>4</v>
      </c>
      <c r="O18" s="45">
        <v>3</v>
      </c>
      <c r="P18" s="45">
        <v>2</v>
      </c>
      <c r="Q18" s="45">
        <v>1</v>
      </c>
      <c r="R18" s="46">
        <v>3.95</v>
      </c>
      <c r="S18" s="46">
        <v>4.25</v>
      </c>
      <c r="T18" s="46">
        <v>286</v>
      </c>
      <c r="U18" s="47">
        <v>2974</v>
      </c>
      <c r="V18" s="23">
        <v>24</v>
      </c>
      <c r="W18" s="38">
        <v>0</v>
      </c>
      <c r="X18" s="38">
        <v>24</v>
      </c>
      <c r="Y18" s="38">
        <v>0</v>
      </c>
      <c r="Z18" s="38">
        <v>0</v>
      </c>
      <c r="AA18" s="44">
        <v>116.2</v>
      </c>
      <c r="AB18" s="44">
        <f t="shared" ref="AB18" si="5">AA18/24</f>
        <v>4.8416666666666668</v>
      </c>
      <c r="AC18" s="52" t="s">
        <v>131</v>
      </c>
      <c r="AD18" s="19" t="s">
        <v>462</v>
      </c>
      <c r="AE18" s="48"/>
      <c r="AF18" s="40" t="s">
        <v>463</v>
      </c>
      <c r="AG18" s="19" t="s">
        <v>464</v>
      </c>
      <c r="AH18" s="21">
        <v>0</v>
      </c>
      <c r="AI18" s="21">
        <v>4.3</v>
      </c>
      <c r="AJ18" s="21">
        <v>0</v>
      </c>
      <c r="AK18" s="21">
        <v>0</v>
      </c>
      <c r="AL18" s="24">
        <f t="shared" si="1"/>
        <v>4.3</v>
      </c>
      <c r="AM18" s="12"/>
      <c r="AN18" s="12"/>
      <c r="AO18" s="12"/>
      <c r="AP18" s="12"/>
      <c r="AQ18" s="55">
        <f t="shared" si="0"/>
        <v>177.39999999999998</v>
      </c>
      <c r="AR18" s="21"/>
      <c r="AS18" s="12">
        <v>273</v>
      </c>
      <c r="AT18" s="26"/>
      <c r="AU18" s="49"/>
      <c r="AV18" s="136"/>
      <c r="AW18" s="137"/>
    </row>
    <row r="19" spans="1:49" s="4" customFormat="1" ht="19.399999999999999" customHeight="1">
      <c r="A19" s="18" t="s">
        <v>134</v>
      </c>
      <c r="B19" s="18" t="s">
        <v>451</v>
      </c>
      <c r="C19" s="19" t="s">
        <v>127</v>
      </c>
      <c r="D19" s="19" t="s">
        <v>171</v>
      </c>
      <c r="E19" s="19" t="s">
        <v>467</v>
      </c>
      <c r="F19" s="58">
        <v>8</v>
      </c>
      <c r="G19" s="43">
        <v>22</v>
      </c>
      <c r="H19" s="44">
        <v>7.1</v>
      </c>
      <c r="I19" s="44" t="s">
        <v>38</v>
      </c>
      <c r="J19" s="43">
        <v>120</v>
      </c>
      <c r="K19" s="44">
        <v>56.2</v>
      </c>
      <c r="L19" s="44" t="s">
        <v>122</v>
      </c>
      <c r="M19" s="43" t="s">
        <v>115</v>
      </c>
      <c r="N19" s="45">
        <v>4</v>
      </c>
      <c r="O19" s="45">
        <v>3</v>
      </c>
      <c r="P19" s="45">
        <v>2</v>
      </c>
      <c r="Q19" s="45">
        <v>1</v>
      </c>
      <c r="R19" s="46">
        <v>3.95</v>
      </c>
      <c r="S19" s="46">
        <v>4.25</v>
      </c>
      <c r="T19" s="46">
        <v>286</v>
      </c>
      <c r="U19" s="47">
        <v>2974</v>
      </c>
      <c r="V19" s="23">
        <v>24</v>
      </c>
      <c r="W19" s="38">
        <v>0</v>
      </c>
      <c r="X19" s="38">
        <v>24</v>
      </c>
      <c r="Y19" s="38">
        <v>0</v>
      </c>
      <c r="Z19" s="38">
        <v>0</v>
      </c>
      <c r="AA19" s="44">
        <v>148.9</v>
      </c>
      <c r="AB19" s="44">
        <f t="shared" ref="AB19" si="6">AA19/24</f>
        <v>6.2041666666666666</v>
      </c>
      <c r="AC19" s="52" t="s">
        <v>131</v>
      </c>
      <c r="AD19" s="19" t="s">
        <v>466</v>
      </c>
      <c r="AE19" s="48"/>
      <c r="AF19" s="40" t="s">
        <v>160</v>
      </c>
      <c r="AG19" s="19" t="s">
        <v>146</v>
      </c>
      <c r="AH19" s="21">
        <v>0</v>
      </c>
      <c r="AI19" s="21">
        <v>5.0999999999999996</v>
      </c>
      <c r="AJ19" s="21">
        <v>0</v>
      </c>
      <c r="AK19" s="21">
        <v>0</v>
      </c>
      <c r="AL19" s="24">
        <f t="shared" si="1"/>
        <v>5.0999999999999996</v>
      </c>
      <c r="AM19" s="12"/>
      <c r="AN19" s="12"/>
      <c r="AO19" s="12"/>
      <c r="AP19" s="12"/>
      <c r="AQ19" s="55">
        <f t="shared" si="0"/>
        <v>172.29999999999998</v>
      </c>
      <c r="AR19" s="21"/>
      <c r="AS19" s="12">
        <v>260</v>
      </c>
      <c r="AT19" s="26"/>
      <c r="AU19" s="49"/>
      <c r="AV19" s="136"/>
      <c r="AW19" s="137"/>
    </row>
    <row r="20" spans="1:49" s="4" customFormat="1" ht="19.399999999999999" customHeight="1">
      <c r="A20" s="18" t="s">
        <v>134</v>
      </c>
      <c r="B20" s="18" t="s">
        <v>451</v>
      </c>
      <c r="C20" s="19" t="s">
        <v>127</v>
      </c>
      <c r="D20" s="19" t="s">
        <v>171</v>
      </c>
      <c r="E20" s="19" t="s">
        <v>471</v>
      </c>
      <c r="F20" s="58">
        <v>8</v>
      </c>
      <c r="G20" s="43">
        <v>22</v>
      </c>
      <c r="H20" s="44">
        <v>37.1</v>
      </c>
      <c r="I20" s="44" t="s">
        <v>38</v>
      </c>
      <c r="J20" s="43">
        <v>120</v>
      </c>
      <c r="K20" s="44">
        <v>12</v>
      </c>
      <c r="L20" s="44" t="s">
        <v>122</v>
      </c>
      <c r="M20" s="43" t="s">
        <v>115</v>
      </c>
      <c r="N20" s="45">
        <v>4</v>
      </c>
      <c r="O20" s="45">
        <v>3</v>
      </c>
      <c r="P20" s="45">
        <v>2</v>
      </c>
      <c r="Q20" s="45">
        <v>1</v>
      </c>
      <c r="R20" s="46">
        <v>3.95</v>
      </c>
      <c r="S20" s="46">
        <v>4.25</v>
      </c>
      <c r="T20" s="46">
        <v>286</v>
      </c>
      <c r="U20" s="47">
        <v>2974</v>
      </c>
      <c r="V20" s="23">
        <v>24</v>
      </c>
      <c r="W20" s="38">
        <v>0</v>
      </c>
      <c r="X20" s="38">
        <v>24</v>
      </c>
      <c r="Y20" s="38">
        <v>0</v>
      </c>
      <c r="Z20" s="38">
        <v>0</v>
      </c>
      <c r="AA20" s="44">
        <v>167.4</v>
      </c>
      <c r="AB20" s="44">
        <f t="shared" ref="AB20" si="7">AA20/24</f>
        <v>6.9750000000000005</v>
      </c>
      <c r="AC20" s="52" t="s">
        <v>131</v>
      </c>
      <c r="AD20" s="19" t="s">
        <v>468</v>
      </c>
      <c r="AE20" s="48"/>
      <c r="AF20" s="40" t="s">
        <v>469</v>
      </c>
      <c r="AG20" s="19" t="s">
        <v>470</v>
      </c>
      <c r="AH20" s="21">
        <v>0</v>
      </c>
      <c r="AI20" s="21">
        <v>4.7</v>
      </c>
      <c r="AJ20" s="21">
        <v>0</v>
      </c>
      <c r="AK20" s="21">
        <v>0</v>
      </c>
      <c r="AL20" s="24">
        <f t="shared" si="1"/>
        <v>4.7</v>
      </c>
      <c r="AM20" s="12"/>
      <c r="AN20" s="12"/>
      <c r="AO20" s="12"/>
      <c r="AP20" s="12"/>
      <c r="AQ20" s="55">
        <f t="shared" si="0"/>
        <v>167.6</v>
      </c>
      <c r="AR20" s="21"/>
      <c r="AS20" s="12">
        <v>252</v>
      </c>
      <c r="AT20" s="26"/>
      <c r="AU20" s="49"/>
      <c r="AV20" s="136" t="s">
        <v>472</v>
      </c>
      <c r="AW20" s="137"/>
    </row>
    <row r="21" spans="1:49" s="4" customFormat="1" ht="19.399999999999999" customHeight="1">
      <c r="A21" s="18" t="s">
        <v>134</v>
      </c>
      <c r="B21" s="18" t="s">
        <v>475</v>
      </c>
      <c r="C21" s="19" t="s">
        <v>171</v>
      </c>
      <c r="D21" s="19" t="s">
        <v>127</v>
      </c>
      <c r="E21" s="19" t="s">
        <v>476</v>
      </c>
      <c r="F21" s="58">
        <v>8</v>
      </c>
      <c r="G21" s="43">
        <v>22</v>
      </c>
      <c r="H21" s="44">
        <v>53.4</v>
      </c>
      <c r="I21" s="44" t="s">
        <v>38</v>
      </c>
      <c r="J21" s="43">
        <v>120</v>
      </c>
      <c r="K21" s="44">
        <v>6.9</v>
      </c>
      <c r="L21" s="44" t="s">
        <v>122</v>
      </c>
      <c r="M21" s="43" t="s">
        <v>115</v>
      </c>
      <c r="N21" s="45">
        <v>4</v>
      </c>
      <c r="O21" s="45">
        <v>3</v>
      </c>
      <c r="P21" s="45">
        <v>2</v>
      </c>
      <c r="Q21" s="45">
        <v>1</v>
      </c>
      <c r="R21" s="46">
        <v>4.05</v>
      </c>
      <c r="S21" s="46">
        <v>4.1500000000000004</v>
      </c>
      <c r="T21" s="46">
        <v>286</v>
      </c>
      <c r="U21" s="47">
        <v>2974</v>
      </c>
      <c r="V21" s="23">
        <v>24</v>
      </c>
      <c r="W21" s="38">
        <v>0</v>
      </c>
      <c r="X21" s="38">
        <v>2.9</v>
      </c>
      <c r="Y21" s="38">
        <v>21.1</v>
      </c>
      <c r="Z21" s="38">
        <v>0</v>
      </c>
      <c r="AA21" s="44">
        <v>26.3</v>
      </c>
      <c r="AB21" s="44">
        <f t="shared" ref="AB21" si="8">AA21/24</f>
        <v>1.0958333333333334</v>
      </c>
      <c r="AC21" s="52" t="s">
        <v>131</v>
      </c>
      <c r="AD21" s="19" t="s">
        <v>473</v>
      </c>
      <c r="AE21" s="48"/>
      <c r="AF21" s="40" t="s">
        <v>135</v>
      </c>
      <c r="AG21" s="19" t="s">
        <v>474</v>
      </c>
      <c r="AH21" s="21">
        <v>0</v>
      </c>
      <c r="AI21" s="21">
        <v>0.4</v>
      </c>
      <c r="AJ21" s="21">
        <v>1.1000000000000001</v>
      </c>
      <c r="AK21" s="21">
        <v>0</v>
      </c>
      <c r="AL21" s="24">
        <f t="shared" si="1"/>
        <v>1.5</v>
      </c>
      <c r="AM21" s="12"/>
      <c r="AN21" s="12"/>
      <c r="AO21" s="12"/>
      <c r="AP21" s="12"/>
      <c r="AQ21" s="55">
        <v>416.1</v>
      </c>
      <c r="AR21" s="21"/>
      <c r="AS21" s="12">
        <v>248</v>
      </c>
      <c r="AT21" s="26"/>
      <c r="AU21" s="49"/>
      <c r="AV21" s="136"/>
      <c r="AW21" s="137"/>
    </row>
    <row r="22" spans="1:49" s="4" customFormat="1" ht="19.399999999999999" customHeight="1">
      <c r="A22" s="18" t="s">
        <v>134</v>
      </c>
      <c r="B22" s="18" t="s">
        <v>475</v>
      </c>
      <c r="C22" s="19" t="s">
        <v>171</v>
      </c>
      <c r="D22" s="19" t="s">
        <v>127</v>
      </c>
      <c r="E22" s="19" t="s">
        <v>477</v>
      </c>
      <c r="F22" s="58">
        <v>8</v>
      </c>
      <c r="G22" s="43">
        <v>22</v>
      </c>
      <c r="H22" s="44">
        <v>58.3</v>
      </c>
      <c r="I22" s="44" t="s">
        <v>38</v>
      </c>
      <c r="J22" s="43">
        <v>120</v>
      </c>
      <c r="K22" s="44">
        <v>10.4</v>
      </c>
      <c r="L22" s="44" t="s">
        <v>122</v>
      </c>
      <c r="M22" s="43" t="s">
        <v>117</v>
      </c>
      <c r="N22" s="45">
        <v>4</v>
      </c>
      <c r="O22" s="45">
        <v>3</v>
      </c>
      <c r="P22" s="45">
        <v>2</v>
      </c>
      <c r="Q22" s="45">
        <v>1</v>
      </c>
      <c r="R22" s="46">
        <v>4.05</v>
      </c>
      <c r="S22" s="46">
        <v>4.1500000000000004</v>
      </c>
      <c r="T22" s="46">
        <v>286</v>
      </c>
      <c r="U22" s="47">
        <v>2974</v>
      </c>
      <c r="V22" s="23">
        <v>24</v>
      </c>
      <c r="W22" s="38">
        <v>0.3</v>
      </c>
      <c r="X22" s="38">
        <v>1.4</v>
      </c>
      <c r="Y22" s="38">
        <v>22.3</v>
      </c>
      <c r="Z22" s="38">
        <v>0</v>
      </c>
      <c r="AA22" s="44">
        <v>6.4</v>
      </c>
      <c r="AB22" s="44">
        <f t="shared" ref="AB22" si="9">AA22/24</f>
        <v>0.26666666666666666</v>
      </c>
      <c r="AC22" s="52" t="s">
        <v>119</v>
      </c>
      <c r="AD22" s="19">
        <v>220</v>
      </c>
      <c r="AE22" s="48"/>
      <c r="AF22" s="40">
        <v>0</v>
      </c>
      <c r="AG22" s="19">
        <v>0</v>
      </c>
      <c r="AH22" s="21">
        <v>0.2</v>
      </c>
      <c r="AI22" s="21">
        <v>0.5</v>
      </c>
      <c r="AJ22" s="21">
        <v>1.3</v>
      </c>
      <c r="AK22" s="21">
        <v>0</v>
      </c>
      <c r="AL22" s="24">
        <f t="shared" si="1"/>
        <v>2</v>
      </c>
      <c r="AM22" s="12"/>
      <c r="AN22" s="12"/>
      <c r="AO22" s="12"/>
      <c r="AP22" s="12"/>
      <c r="AQ22" s="55">
        <f t="shared" ref="AQ22:AQ99" si="10">SUM(AQ21-AL22)</f>
        <v>414.1</v>
      </c>
      <c r="AR22" s="21"/>
      <c r="AS22" s="12">
        <v>244</v>
      </c>
      <c r="AT22" s="26"/>
      <c r="AU22" s="49"/>
      <c r="AV22" s="136"/>
      <c r="AW22" s="137"/>
    </row>
    <row r="23" spans="1:49" s="4" customFormat="1" ht="19.399999999999999" customHeight="1">
      <c r="A23" s="18" t="s">
        <v>134</v>
      </c>
      <c r="B23" s="18" t="s">
        <v>475</v>
      </c>
      <c r="C23" s="19" t="s">
        <v>171</v>
      </c>
      <c r="D23" s="19" t="s">
        <v>127</v>
      </c>
      <c r="E23" s="19" t="s">
        <v>478</v>
      </c>
      <c r="F23" s="58">
        <v>8</v>
      </c>
      <c r="G23" s="43">
        <v>22</v>
      </c>
      <c r="H23" s="44">
        <v>58.3</v>
      </c>
      <c r="I23" s="44" t="s">
        <v>38</v>
      </c>
      <c r="J23" s="43">
        <v>120</v>
      </c>
      <c r="K23" s="44">
        <v>10.4</v>
      </c>
      <c r="L23" s="44" t="s">
        <v>122</v>
      </c>
      <c r="M23" s="43" t="s">
        <v>123</v>
      </c>
      <c r="N23" s="45">
        <v>12</v>
      </c>
      <c r="O23" s="45">
        <v>3</v>
      </c>
      <c r="P23" s="45">
        <v>2</v>
      </c>
      <c r="Q23" s="45">
        <v>1</v>
      </c>
      <c r="R23" s="46">
        <v>4.05</v>
      </c>
      <c r="S23" s="46">
        <v>4.1500000000000004</v>
      </c>
      <c r="T23" s="46">
        <v>286</v>
      </c>
      <c r="U23" s="47">
        <v>2974</v>
      </c>
      <c r="V23" s="23">
        <v>24</v>
      </c>
      <c r="W23" s="38">
        <v>0</v>
      </c>
      <c r="X23" s="38">
        <v>0</v>
      </c>
      <c r="Y23" s="38">
        <v>24</v>
      </c>
      <c r="Z23" s="38">
        <v>0</v>
      </c>
      <c r="AA23" s="44">
        <v>0</v>
      </c>
      <c r="AB23" s="44">
        <f t="shared" ref="AB23" si="11">AA23/24</f>
        <v>0</v>
      </c>
      <c r="AC23" s="52" t="s">
        <v>119</v>
      </c>
      <c r="AD23" s="19">
        <v>225</v>
      </c>
      <c r="AE23" s="48"/>
      <c r="AF23" s="40">
        <v>0</v>
      </c>
      <c r="AG23" s="19">
        <v>0</v>
      </c>
      <c r="AH23" s="21">
        <v>0</v>
      </c>
      <c r="AI23" s="21">
        <v>0</v>
      </c>
      <c r="AJ23" s="21">
        <v>1.5</v>
      </c>
      <c r="AK23" s="21">
        <v>0</v>
      </c>
      <c r="AL23" s="24">
        <f t="shared" si="1"/>
        <v>1.5</v>
      </c>
      <c r="AM23" s="12"/>
      <c r="AN23" s="12"/>
      <c r="AO23" s="12"/>
      <c r="AP23" s="12"/>
      <c r="AQ23" s="55">
        <f t="shared" si="10"/>
        <v>412.6</v>
      </c>
      <c r="AR23" s="21"/>
      <c r="AS23" s="12">
        <v>238</v>
      </c>
      <c r="AT23" s="26"/>
      <c r="AU23" s="49"/>
      <c r="AV23" s="136"/>
      <c r="AW23" s="137"/>
    </row>
    <row r="24" spans="1:49" s="4" customFormat="1" ht="19.399999999999999" customHeight="1">
      <c r="A24" s="18" t="s">
        <v>134</v>
      </c>
      <c r="B24" s="18" t="s">
        <v>475</v>
      </c>
      <c r="C24" s="19" t="s">
        <v>171</v>
      </c>
      <c r="D24" s="19" t="s">
        <v>127</v>
      </c>
      <c r="E24" s="19" t="s">
        <v>479</v>
      </c>
      <c r="F24" s="58">
        <v>8</v>
      </c>
      <c r="G24" s="43">
        <v>22</v>
      </c>
      <c r="H24" s="44">
        <v>58.3</v>
      </c>
      <c r="I24" s="44" t="s">
        <v>38</v>
      </c>
      <c r="J24" s="43">
        <v>120</v>
      </c>
      <c r="K24" s="44">
        <v>10.4</v>
      </c>
      <c r="L24" s="44" t="s">
        <v>122</v>
      </c>
      <c r="M24" s="43" t="s">
        <v>123</v>
      </c>
      <c r="N24" s="45">
        <v>12</v>
      </c>
      <c r="O24" s="45">
        <v>3</v>
      </c>
      <c r="P24" s="45">
        <v>2</v>
      </c>
      <c r="Q24" s="45">
        <v>1</v>
      </c>
      <c r="R24" s="46">
        <v>4.05</v>
      </c>
      <c r="S24" s="46">
        <v>4.1500000000000004</v>
      </c>
      <c r="T24" s="46">
        <v>286</v>
      </c>
      <c r="U24" s="47">
        <v>2974</v>
      </c>
      <c r="V24" s="23">
        <v>24</v>
      </c>
      <c r="W24" s="38">
        <v>0</v>
      </c>
      <c r="X24" s="38">
        <v>0</v>
      </c>
      <c r="Y24" s="38">
        <v>24</v>
      </c>
      <c r="Z24" s="38">
        <v>0</v>
      </c>
      <c r="AA24" s="44">
        <v>0</v>
      </c>
      <c r="AB24" s="44">
        <f t="shared" ref="AB24" si="12">AA24/24</f>
        <v>0</v>
      </c>
      <c r="AC24" s="52" t="s">
        <v>113</v>
      </c>
      <c r="AD24" s="19">
        <v>226</v>
      </c>
      <c r="AE24" s="48"/>
      <c r="AF24" s="40">
        <v>0</v>
      </c>
      <c r="AG24" s="19">
        <v>0</v>
      </c>
      <c r="AH24" s="21">
        <v>0</v>
      </c>
      <c r="AI24" s="21">
        <v>0</v>
      </c>
      <c r="AJ24" s="21">
        <v>1.5</v>
      </c>
      <c r="AK24" s="21">
        <v>0</v>
      </c>
      <c r="AL24" s="24">
        <f t="shared" si="1"/>
        <v>1.5</v>
      </c>
      <c r="AM24" s="12"/>
      <c r="AN24" s="12"/>
      <c r="AO24" s="12"/>
      <c r="AP24" s="12"/>
      <c r="AQ24" s="55">
        <f t="shared" si="10"/>
        <v>411.1</v>
      </c>
      <c r="AR24" s="21"/>
      <c r="AS24" s="12">
        <v>234</v>
      </c>
      <c r="AT24" s="26"/>
      <c r="AU24" s="49"/>
      <c r="AV24" s="136"/>
      <c r="AW24" s="137"/>
    </row>
    <row r="25" spans="1:49" s="4" customFormat="1" ht="19.399999999999999" customHeight="1">
      <c r="A25" s="18" t="s">
        <v>134</v>
      </c>
      <c r="B25" s="18" t="s">
        <v>475</v>
      </c>
      <c r="C25" s="19" t="s">
        <v>171</v>
      </c>
      <c r="D25" s="19" t="s">
        <v>127</v>
      </c>
      <c r="E25" s="19" t="s">
        <v>480</v>
      </c>
      <c r="F25" s="58">
        <v>8</v>
      </c>
      <c r="G25" s="43">
        <v>22</v>
      </c>
      <c r="H25" s="44">
        <v>58.3</v>
      </c>
      <c r="I25" s="44" t="s">
        <v>38</v>
      </c>
      <c r="J25" s="43">
        <v>120</v>
      </c>
      <c r="K25" s="44">
        <v>10.4</v>
      </c>
      <c r="L25" s="44" t="s">
        <v>122</v>
      </c>
      <c r="M25" s="43" t="s">
        <v>115</v>
      </c>
      <c r="N25" s="45">
        <v>7</v>
      </c>
      <c r="O25" s="45">
        <v>2</v>
      </c>
      <c r="P25" s="45">
        <v>1</v>
      </c>
      <c r="Q25" s="45">
        <v>1</v>
      </c>
      <c r="R25" s="46">
        <v>4.05</v>
      </c>
      <c r="S25" s="46">
        <v>4.1500000000000004</v>
      </c>
      <c r="T25" s="46">
        <v>286</v>
      </c>
      <c r="U25" s="47">
        <v>2974</v>
      </c>
      <c r="V25" s="23">
        <v>24</v>
      </c>
      <c r="W25" s="38">
        <v>0</v>
      </c>
      <c r="X25" s="38">
        <v>7</v>
      </c>
      <c r="Y25" s="38">
        <v>17</v>
      </c>
      <c r="Z25" s="38">
        <v>0</v>
      </c>
      <c r="AA25" s="44">
        <v>0</v>
      </c>
      <c r="AB25" s="44">
        <f t="shared" ref="AB25" si="13">AA25/24</f>
        <v>0</v>
      </c>
      <c r="AC25" s="52" t="s">
        <v>113</v>
      </c>
      <c r="AD25" s="19">
        <v>221</v>
      </c>
      <c r="AE25" s="48"/>
      <c r="AF25" s="40">
        <v>0</v>
      </c>
      <c r="AG25" s="19">
        <v>0</v>
      </c>
      <c r="AH25" s="21">
        <v>0</v>
      </c>
      <c r="AI25" s="21">
        <v>1.7</v>
      </c>
      <c r="AJ25" s="21">
        <v>1</v>
      </c>
      <c r="AK25" s="21">
        <v>0</v>
      </c>
      <c r="AL25" s="24">
        <f t="shared" si="1"/>
        <v>2.7</v>
      </c>
      <c r="AM25" s="12"/>
      <c r="AN25" s="12"/>
      <c r="AO25" s="12"/>
      <c r="AP25" s="12"/>
      <c r="AQ25" s="55">
        <f t="shared" si="10"/>
        <v>408.40000000000003</v>
      </c>
      <c r="AR25" s="21"/>
      <c r="AS25" s="12">
        <v>230</v>
      </c>
      <c r="AT25" s="26"/>
      <c r="AU25" s="49"/>
      <c r="AV25" s="136"/>
      <c r="AW25" s="137"/>
    </row>
    <row r="26" spans="1:49" s="4" customFormat="1" ht="19.399999999999999" customHeight="1">
      <c r="A26" s="18" t="s">
        <v>134</v>
      </c>
      <c r="B26" s="18" t="s">
        <v>475</v>
      </c>
      <c r="C26" s="19" t="s">
        <v>171</v>
      </c>
      <c r="D26" s="19" t="s">
        <v>127</v>
      </c>
      <c r="E26" s="19" t="s">
        <v>481</v>
      </c>
      <c r="F26" s="58">
        <v>8</v>
      </c>
      <c r="G26" s="43">
        <v>22</v>
      </c>
      <c r="H26" s="44">
        <v>58.3</v>
      </c>
      <c r="I26" s="44" t="s">
        <v>38</v>
      </c>
      <c r="J26" s="43">
        <v>120</v>
      </c>
      <c r="K26" s="44">
        <v>10.4</v>
      </c>
      <c r="L26" s="44" t="s">
        <v>122</v>
      </c>
      <c r="M26" s="43" t="s">
        <v>482</v>
      </c>
      <c r="N26" s="45">
        <v>8</v>
      </c>
      <c r="O26" s="45">
        <v>4</v>
      </c>
      <c r="P26" s="45">
        <v>3</v>
      </c>
      <c r="Q26" s="45">
        <v>1</v>
      </c>
      <c r="R26" s="46">
        <v>4.05</v>
      </c>
      <c r="S26" s="46">
        <v>4.1500000000000004</v>
      </c>
      <c r="T26" s="46">
        <v>286</v>
      </c>
      <c r="U26" s="47">
        <v>2974</v>
      </c>
      <c r="V26" s="23">
        <v>24</v>
      </c>
      <c r="W26" s="38">
        <v>0</v>
      </c>
      <c r="X26" s="38">
        <v>0</v>
      </c>
      <c r="Y26" s="38">
        <v>0</v>
      </c>
      <c r="Z26" s="38">
        <v>0</v>
      </c>
      <c r="AA26" s="44">
        <v>0</v>
      </c>
      <c r="AB26" s="44">
        <f t="shared" ref="AB26:AB27" si="14">AA26/24</f>
        <v>0</v>
      </c>
      <c r="AC26" s="52" t="s">
        <v>113</v>
      </c>
      <c r="AD26" s="13">
        <v>219</v>
      </c>
      <c r="AE26" s="20"/>
      <c r="AF26" s="13">
        <v>0</v>
      </c>
      <c r="AG26" s="20">
        <v>0</v>
      </c>
      <c r="AH26" s="20">
        <v>0</v>
      </c>
      <c r="AI26" s="20">
        <v>0</v>
      </c>
      <c r="AJ26" s="20">
        <v>2</v>
      </c>
      <c r="AK26" s="20">
        <v>0</v>
      </c>
      <c r="AL26" s="24">
        <f t="shared" si="1"/>
        <v>2</v>
      </c>
      <c r="AM26" s="12"/>
      <c r="AN26" s="12"/>
      <c r="AO26" s="20"/>
      <c r="AP26" s="12"/>
      <c r="AQ26" s="55">
        <f t="shared" si="10"/>
        <v>406.40000000000003</v>
      </c>
      <c r="AR26" s="21"/>
      <c r="AS26" s="12">
        <v>226</v>
      </c>
      <c r="AT26" s="26"/>
      <c r="AU26" s="49"/>
      <c r="AV26" s="139"/>
      <c r="AW26" s="140"/>
    </row>
    <row r="27" spans="1:49" s="4" customFormat="1" ht="19.399999999999999" customHeight="1">
      <c r="A27" s="18" t="s">
        <v>134</v>
      </c>
      <c r="B27" s="18" t="s">
        <v>484</v>
      </c>
      <c r="C27" s="19" t="s">
        <v>127</v>
      </c>
      <c r="D27" s="19" t="s">
        <v>127</v>
      </c>
      <c r="E27" s="19" t="s">
        <v>483</v>
      </c>
      <c r="F27" s="58">
        <v>8</v>
      </c>
      <c r="G27" s="43">
        <v>22</v>
      </c>
      <c r="H27" s="44">
        <v>58.6</v>
      </c>
      <c r="I27" s="44" t="s">
        <v>38</v>
      </c>
      <c r="J27" s="43">
        <v>120</v>
      </c>
      <c r="K27" s="44">
        <v>10.5</v>
      </c>
      <c r="L27" s="44" t="s">
        <v>122</v>
      </c>
      <c r="M27" s="43" t="s">
        <v>117</v>
      </c>
      <c r="N27" s="45">
        <v>8</v>
      </c>
      <c r="O27" s="45">
        <v>3</v>
      </c>
      <c r="P27" s="45">
        <v>2</v>
      </c>
      <c r="Q27" s="45">
        <v>1</v>
      </c>
      <c r="R27" s="46">
        <v>4.05</v>
      </c>
      <c r="S27" s="46">
        <v>4.1500000000000004</v>
      </c>
      <c r="T27" s="46">
        <v>286</v>
      </c>
      <c r="U27" s="47">
        <v>2974</v>
      </c>
      <c r="V27" s="23">
        <v>24</v>
      </c>
      <c r="W27" s="38">
        <v>0</v>
      </c>
      <c r="X27" s="38">
        <v>1.1000000000000001</v>
      </c>
      <c r="Y27" s="38">
        <v>22.9</v>
      </c>
      <c r="Z27" s="38">
        <v>0</v>
      </c>
      <c r="AA27" s="44">
        <v>0.4</v>
      </c>
      <c r="AB27" s="44">
        <f t="shared" si="14"/>
        <v>1.6666666666666666E-2</v>
      </c>
      <c r="AC27" s="52" t="s">
        <v>113</v>
      </c>
      <c r="AD27" s="13">
        <v>266</v>
      </c>
      <c r="AE27" s="20"/>
      <c r="AF27" s="13">
        <v>0</v>
      </c>
      <c r="AG27" s="20">
        <v>0</v>
      </c>
      <c r="AH27" s="20">
        <v>0</v>
      </c>
      <c r="AI27" s="20">
        <v>0.4</v>
      </c>
      <c r="AJ27" s="20">
        <v>1.7</v>
      </c>
      <c r="AK27" s="20">
        <v>0</v>
      </c>
      <c r="AL27" s="24">
        <f t="shared" si="1"/>
        <v>2.1</v>
      </c>
      <c r="AM27" s="12"/>
      <c r="AN27" s="12"/>
      <c r="AO27" s="12"/>
      <c r="AP27" s="12"/>
      <c r="AQ27" s="55">
        <f t="shared" si="10"/>
        <v>404.3</v>
      </c>
      <c r="AR27" s="21"/>
      <c r="AS27" s="12">
        <v>223</v>
      </c>
      <c r="AT27" s="26"/>
      <c r="AU27" s="49"/>
      <c r="AV27" s="136"/>
      <c r="AW27" s="137"/>
    </row>
    <row r="28" spans="1:49" s="4" customFormat="1" ht="19.399999999999999" customHeight="1">
      <c r="A28" s="18" t="s">
        <v>134</v>
      </c>
      <c r="B28" s="18" t="s">
        <v>484</v>
      </c>
      <c r="C28" s="19" t="s">
        <v>127</v>
      </c>
      <c r="D28" s="19" t="s">
        <v>127</v>
      </c>
      <c r="E28" s="19" t="s">
        <v>485</v>
      </c>
      <c r="F28" s="58">
        <v>8</v>
      </c>
      <c r="G28" s="43">
        <v>22</v>
      </c>
      <c r="H28" s="44">
        <v>58.6</v>
      </c>
      <c r="I28" s="44" t="s">
        <v>38</v>
      </c>
      <c r="J28" s="43">
        <v>120</v>
      </c>
      <c r="K28" s="44">
        <v>10.5</v>
      </c>
      <c r="L28" s="44" t="s">
        <v>122</v>
      </c>
      <c r="M28" s="43" t="s">
        <v>117</v>
      </c>
      <c r="N28" s="45">
        <v>8</v>
      </c>
      <c r="O28" s="45">
        <v>3</v>
      </c>
      <c r="P28" s="45">
        <v>2</v>
      </c>
      <c r="Q28" s="45">
        <v>1</v>
      </c>
      <c r="R28" s="46">
        <v>4.05</v>
      </c>
      <c r="S28" s="46">
        <v>4.1500000000000004</v>
      </c>
      <c r="T28" s="46">
        <v>286</v>
      </c>
      <c r="U28" s="47">
        <v>2974</v>
      </c>
      <c r="V28" s="23">
        <v>24</v>
      </c>
      <c r="W28" s="38">
        <v>0</v>
      </c>
      <c r="X28" s="38">
        <v>0</v>
      </c>
      <c r="Y28" s="38">
        <v>24</v>
      </c>
      <c r="Z28" s="38">
        <v>0</v>
      </c>
      <c r="AA28" s="44">
        <v>0</v>
      </c>
      <c r="AB28" s="44">
        <f t="shared" ref="AB28" si="15">AA28/24</f>
        <v>0</v>
      </c>
      <c r="AC28" s="52" t="s">
        <v>113</v>
      </c>
      <c r="AD28" s="13">
        <v>229</v>
      </c>
      <c r="AE28" s="20"/>
      <c r="AF28" s="20">
        <v>0</v>
      </c>
      <c r="AG28" s="20">
        <v>0</v>
      </c>
      <c r="AH28" s="20">
        <v>0</v>
      </c>
      <c r="AI28" s="20">
        <v>0</v>
      </c>
      <c r="AJ28" s="20">
        <v>2.2000000000000002</v>
      </c>
      <c r="AK28" s="20">
        <v>0</v>
      </c>
      <c r="AL28" s="24">
        <f t="shared" si="1"/>
        <v>2.2000000000000002</v>
      </c>
      <c r="AM28" s="12"/>
      <c r="AN28" s="12"/>
      <c r="AO28" s="12"/>
      <c r="AP28" s="12"/>
      <c r="AQ28" s="55">
        <f t="shared" si="10"/>
        <v>402.1</v>
      </c>
      <c r="AR28" s="21"/>
      <c r="AS28" s="12">
        <v>220</v>
      </c>
      <c r="AT28" s="26"/>
      <c r="AU28" s="49"/>
      <c r="AV28" s="136"/>
      <c r="AW28" s="137"/>
    </row>
    <row r="29" spans="1:49" s="4" customFormat="1" ht="19.399999999999999" customHeight="1">
      <c r="A29" s="18" t="s">
        <v>134</v>
      </c>
      <c r="B29" s="18" t="s">
        <v>484</v>
      </c>
      <c r="C29" s="19" t="s">
        <v>127</v>
      </c>
      <c r="D29" s="19" t="s">
        <v>127</v>
      </c>
      <c r="E29" s="19" t="s">
        <v>486</v>
      </c>
      <c r="F29" s="58">
        <v>8</v>
      </c>
      <c r="G29" s="43">
        <v>22</v>
      </c>
      <c r="H29" s="44">
        <v>58.6</v>
      </c>
      <c r="I29" s="44" t="s">
        <v>38</v>
      </c>
      <c r="J29" s="43">
        <v>120</v>
      </c>
      <c r="K29" s="44">
        <v>10.5</v>
      </c>
      <c r="L29" s="44" t="s">
        <v>122</v>
      </c>
      <c r="M29" s="43" t="s">
        <v>117</v>
      </c>
      <c r="N29" s="45">
        <v>8</v>
      </c>
      <c r="O29" s="45">
        <v>3</v>
      </c>
      <c r="P29" s="45">
        <v>2</v>
      </c>
      <c r="Q29" s="45">
        <v>1</v>
      </c>
      <c r="R29" s="46">
        <v>4.05</v>
      </c>
      <c r="S29" s="46">
        <v>4.1500000000000004</v>
      </c>
      <c r="T29" s="46">
        <v>286</v>
      </c>
      <c r="U29" s="47">
        <v>2974</v>
      </c>
      <c r="V29" s="23">
        <v>24</v>
      </c>
      <c r="W29" s="38">
        <v>0</v>
      </c>
      <c r="X29" s="38">
        <v>0</v>
      </c>
      <c r="Y29" s="38">
        <v>24</v>
      </c>
      <c r="Z29" s="38">
        <v>0</v>
      </c>
      <c r="AA29" s="44">
        <v>0</v>
      </c>
      <c r="AB29" s="44">
        <f t="shared" ref="AB29" si="16">AA29/24</f>
        <v>0</v>
      </c>
      <c r="AC29" s="52" t="s">
        <v>113</v>
      </c>
      <c r="AD29" s="13">
        <v>227</v>
      </c>
      <c r="AE29" s="20"/>
      <c r="AF29" s="20">
        <v>0</v>
      </c>
      <c r="AG29" s="20">
        <v>0</v>
      </c>
      <c r="AH29" s="20">
        <v>0</v>
      </c>
      <c r="AI29" s="20">
        <v>0</v>
      </c>
      <c r="AJ29" s="20">
        <v>1.9</v>
      </c>
      <c r="AK29" s="20">
        <v>0</v>
      </c>
      <c r="AL29" s="24">
        <f t="shared" si="1"/>
        <v>1.9</v>
      </c>
      <c r="AM29" s="12"/>
      <c r="AN29" s="12"/>
      <c r="AO29" s="12"/>
      <c r="AP29" s="12"/>
      <c r="AQ29" s="55">
        <f t="shared" si="10"/>
        <v>400.20000000000005</v>
      </c>
      <c r="AR29" s="21"/>
      <c r="AS29" s="12">
        <v>214</v>
      </c>
      <c r="AT29" s="26"/>
      <c r="AU29" s="49"/>
      <c r="AV29" s="136"/>
      <c r="AW29" s="137"/>
    </row>
    <row r="30" spans="1:49" s="4" customFormat="1" ht="19.399999999999999" customHeight="1">
      <c r="A30" s="18" t="s">
        <v>134</v>
      </c>
      <c r="B30" s="18" t="s">
        <v>484</v>
      </c>
      <c r="C30" s="19" t="s">
        <v>127</v>
      </c>
      <c r="D30" s="19" t="s">
        <v>127</v>
      </c>
      <c r="E30" s="19" t="s">
        <v>487</v>
      </c>
      <c r="F30" s="58">
        <v>8</v>
      </c>
      <c r="G30" s="43">
        <v>22</v>
      </c>
      <c r="H30" s="44">
        <v>58.6</v>
      </c>
      <c r="I30" s="44" t="s">
        <v>38</v>
      </c>
      <c r="J30" s="43">
        <v>120</v>
      </c>
      <c r="K30" s="44">
        <v>10.5</v>
      </c>
      <c r="L30" s="44" t="s">
        <v>122</v>
      </c>
      <c r="M30" s="43" t="s">
        <v>115</v>
      </c>
      <c r="N30" s="45">
        <v>4</v>
      </c>
      <c r="O30" s="45">
        <v>3</v>
      </c>
      <c r="P30" s="45">
        <v>2</v>
      </c>
      <c r="Q30" s="45">
        <v>1</v>
      </c>
      <c r="R30" s="46">
        <v>4.05</v>
      </c>
      <c r="S30" s="46">
        <v>4.1500000000000004</v>
      </c>
      <c r="T30" s="46">
        <v>286</v>
      </c>
      <c r="U30" s="47">
        <v>2974</v>
      </c>
      <c r="V30" s="23">
        <v>24</v>
      </c>
      <c r="W30" s="38">
        <v>0</v>
      </c>
      <c r="X30" s="38">
        <v>0</v>
      </c>
      <c r="Y30" s="38">
        <v>24</v>
      </c>
      <c r="Z30" s="38">
        <v>0</v>
      </c>
      <c r="AA30" s="44">
        <v>0</v>
      </c>
      <c r="AB30" s="44">
        <f t="shared" ref="AB30" si="17">AA30/24</f>
        <v>0</v>
      </c>
      <c r="AC30" s="52" t="s">
        <v>113</v>
      </c>
      <c r="AD30" s="13">
        <v>223</v>
      </c>
      <c r="AE30" s="20"/>
      <c r="AF30" s="20">
        <v>0</v>
      </c>
      <c r="AG30" s="20">
        <v>0</v>
      </c>
      <c r="AH30" s="20">
        <v>0</v>
      </c>
      <c r="AI30" s="20">
        <v>0</v>
      </c>
      <c r="AJ30" s="20">
        <v>2</v>
      </c>
      <c r="AK30" s="20">
        <v>0</v>
      </c>
      <c r="AL30" s="24">
        <f t="shared" si="1"/>
        <v>2</v>
      </c>
      <c r="AM30" s="12"/>
      <c r="AN30" s="12"/>
      <c r="AO30" s="12"/>
      <c r="AP30" s="12"/>
      <c r="AQ30" s="55">
        <f t="shared" si="10"/>
        <v>398.20000000000005</v>
      </c>
      <c r="AR30" s="21"/>
      <c r="AS30" s="53">
        <v>209</v>
      </c>
      <c r="AT30" s="26"/>
      <c r="AU30" s="49"/>
      <c r="AV30" s="139"/>
      <c r="AW30" s="140"/>
    </row>
    <row r="31" spans="1:49" s="4" customFormat="1" ht="19.399999999999999" customHeight="1">
      <c r="A31" s="18" t="s">
        <v>134</v>
      </c>
      <c r="B31" s="18" t="s">
        <v>484</v>
      </c>
      <c r="C31" s="19" t="s">
        <v>127</v>
      </c>
      <c r="D31" s="19" t="s">
        <v>127</v>
      </c>
      <c r="E31" s="19" t="s">
        <v>488</v>
      </c>
      <c r="F31" s="58">
        <v>8</v>
      </c>
      <c r="G31" s="43">
        <v>22</v>
      </c>
      <c r="H31" s="44">
        <v>58.6</v>
      </c>
      <c r="I31" s="44" t="s">
        <v>38</v>
      </c>
      <c r="J31" s="43">
        <v>120</v>
      </c>
      <c r="K31" s="44">
        <v>10.5</v>
      </c>
      <c r="L31" s="44" t="s">
        <v>122</v>
      </c>
      <c r="M31" s="43" t="s">
        <v>115</v>
      </c>
      <c r="N31" s="45">
        <v>10</v>
      </c>
      <c r="O31" s="45">
        <v>3</v>
      </c>
      <c r="P31" s="45">
        <v>2</v>
      </c>
      <c r="Q31" s="45">
        <v>1</v>
      </c>
      <c r="R31" s="46">
        <v>4.05</v>
      </c>
      <c r="S31" s="46">
        <v>4.1500000000000004</v>
      </c>
      <c r="T31" s="46">
        <v>286</v>
      </c>
      <c r="U31" s="47">
        <v>2974</v>
      </c>
      <c r="V31" s="23">
        <v>24</v>
      </c>
      <c r="W31" s="38">
        <v>0</v>
      </c>
      <c r="X31" s="38">
        <v>0</v>
      </c>
      <c r="Y31" s="38">
        <v>24</v>
      </c>
      <c r="Z31" s="38">
        <v>0</v>
      </c>
      <c r="AA31" s="44">
        <v>0</v>
      </c>
      <c r="AB31" s="44">
        <f t="shared" ref="AB31" si="18">AA31/24</f>
        <v>0</v>
      </c>
      <c r="AC31" s="52" t="s">
        <v>113</v>
      </c>
      <c r="AD31" s="13">
        <v>228</v>
      </c>
      <c r="AE31" s="20"/>
      <c r="AF31" s="20">
        <v>0</v>
      </c>
      <c r="AG31" s="20">
        <v>0</v>
      </c>
      <c r="AH31" s="20">
        <v>0</v>
      </c>
      <c r="AI31" s="20">
        <v>0</v>
      </c>
      <c r="AJ31" s="20">
        <v>2</v>
      </c>
      <c r="AK31" s="20">
        <v>0</v>
      </c>
      <c r="AL31" s="24">
        <f t="shared" si="1"/>
        <v>2</v>
      </c>
      <c r="AM31" s="12"/>
      <c r="AN31" s="12"/>
      <c r="AO31" s="12"/>
      <c r="AP31" s="12"/>
      <c r="AQ31" s="55">
        <f t="shared" si="10"/>
        <v>396.20000000000005</v>
      </c>
      <c r="AR31" s="21"/>
      <c r="AS31" s="12">
        <v>204</v>
      </c>
      <c r="AT31" s="26"/>
      <c r="AU31" s="49"/>
      <c r="AV31" s="139"/>
      <c r="AW31" s="140"/>
    </row>
    <row r="32" spans="1:49" s="4" customFormat="1" ht="19.399999999999999" customHeight="1">
      <c r="A32" s="18" t="s">
        <v>134</v>
      </c>
      <c r="B32" s="18" t="s">
        <v>484</v>
      </c>
      <c r="C32" s="19" t="s">
        <v>127</v>
      </c>
      <c r="D32" s="19" t="s">
        <v>127</v>
      </c>
      <c r="E32" s="19" t="s">
        <v>489</v>
      </c>
      <c r="F32" s="58">
        <v>8</v>
      </c>
      <c r="G32" s="43">
        <v>22</v>
      </c>
      <c r="H32" s="44">
        <v>58.6</v>
      </c>
      <c r="I32" s="44" t="s">
        <v>38</v>
      </c>
      <c r="J32" s="43">
        <v>120</v>
      </c>
      <c r="K32" s="44">
        <v>10.5</v>
      </c>
      <c r="L32" s="44" t="s">
        <v>122</v>
      </c>
      <c r="M32" s="43" t="s">
        <v>490</v>
      </c>
      <c r="N32" s="45">
        <v>10</v>
      </c>
      <c r="O32" s="45">
        <v>2</v>
      </c>
      <c r="P32" s="45">
        <v>1</v>
      </c>
      <c r="Q32" s="45">
        <v>1</v>
      </c>
      <c r="R32" s="46">
        <v>4.05</v>
      </c>
      <c r="S32" s="46">
        <v>4.1500000000000004</v>
      </c>
      <c r="T32" s="46">
        <v>286</v>
      </c>
      <c r="U32" s="47">
        <v>2974</v>
      </c>
      <c r="V32" s="23">
        <v>24</v>
      </c>
      <c r="W32" s="38">
        <v>0</v>
      </c>
      <c r="X32" s="38">
        <v>0</v>
      </c>
      <c r="Y32" s="38">
        <v>24</v>
      </c>
      <c r="Z32" s="38">
        <v>0</v>
      </c>
      <c r="AA32" s="44">
        <v>0</v>
      </c>
      <c r="AB32" s="44">
        <f t="shared" ref="AB32" si="19">AA32/24</f>
        <v>0</v>
      </c>
      <c r="AC32" s="52" t="s">
        <v>113</v>
      </c>
      <c r="AD32" s="43">
        <v>239</v>
      </c>
      <c r="AE32" s="40"/>
      <c r="AF32" s="20">
        <v>0</v>
      </c>
      <c r="AG32" s="20">
        <v>0</v>
      </c>
      <c r="AH32" s="20">
        <v>0</v>
      </c>
      <c r="AI32" s="20">
        <v>0</v>
      </c>
      <c r="AJ32" s="20">
        <v>2</v>
      </c>
      <c r="AK32" s="20">
        <v>0</v>
      </c>
      <c r="AL32" s="24">
        <f t="shared" si="1"/>
        <v>2</v>
      </c>
      <c r="AM32" s="12"/>
      <c r="AN32" s="12"/>
      <c r="AO32" s="12"/>
      <c r="AP32" s="12"/>
      <c r="AQ32" s="55">
        <f t="shared" si="10"/>
        <v>394.20000000000005</v>
      </c>
      <c r="AR32" s="38"/>
      <c r="AS32" s="38">
        <v>199</v>
      </c>
      <c r="AT32" s="26"/>
      <c r="AU32" s="49"/>
      <c r="AV32" s="139"/>
      <c r="AW32" s="140"/>
    </row>
    <row r="33" spans="1:49" s="4" customFormat="1" ht="19.399999999999999" customHeight="1">
      <c r="A33" s="18" t="s">
        <v>134</v>
      </c>
      <c r="B33" s="18" t="s">
        <v>484</v>
      </c>
      <c r="C33" s="19" t="s">
        <v>127</v>
      </c>
      <c r="D33" s="19" t="s">
        <v>127</v>
      </c>
      <c r="E33" s="19" t="s">
        <v>491</v>
      </c>
      <c r="F33" s="58">
        <v>8</v>
      </c>
      <c r="G33" s="43">
        <v>22</v>
      </c>
      <c r="H33" s="44">
        <v>58.6</v>
      </c>
      <c r="I33" s="44" t="s">
        <v>38</v>
      </c>
      <c r="J33" s="43">
        <v>120</v>
      </c>
      <c r="K33" s="44">
        <v>10.5</v>
      </c>
      <c r="L33" s="44" t="s">
        <v>122</v>
      </c>
      <c r="M33" s="43" t="s">
        <v>153</v>
      </c>
      <c r="N33" s="45">
        <v>4</v>
      </c>
      <c r="O33" s="45">
        <v>3</v>
      </c>
      <c r="P33" s="45">
        <v>1</v>
      </c>
      <c r="Q33" s="45">
        <v>1</v>
      </c>
      <c r="R33" s="46">
        <v>4.05</v>
      </c>
      <c r="S33" s="46">
        <v>4.1500000000000004</v>
      </c>
      <c r="T33" s="46">
        <v>286</v>
      </c>
      <c r="U33" s="47">
        <v>2974</v>
      </c>
      <c r="V33" s="23">
        <v>24</v>
      </c>
      <c r="W33" s="38">
        <v>0</v>
      </c>
      <c r="X33" s="38">
        <v>0</v>
      </c>
      <c r="Y33" s="38">
        <v>24</v>
      </c>
      <c r="Z33" s="38">
        <v>0</v>
      </c>
      <c r="AA33" s="44">
        <v>0</v>
      </c>
      <c r="AB33" s="44">
        <f t="shared" ref="AB33" si="20">AA33/24</f>
        <v>0</v>
      </c>
      <c r="AC33" s="52" t="s">
        <v>113</v>
      </c>
      <c r="AD33" s="43">
        <v>224</v>
      </c>
      <c r="AE33" s="40"/>
      <c r="AF33" s="40">
        <v>0</v>
      </c>
      <c r="AG33" s="40">
        <v>0</v>
      </c>
      <c r="AH33" s="38">
        <v>0</v>
      </c>
      <c r="AI33" s="38">
        <v>0</v>
      </c>
      <c r="AJ33" s="38">
        <v>2</v>
      </c>
      <c r="AK33" s="38">
        <v>0</v>
      </c>
      <c r="AL33" s="24">
        <f t="shared" si="1"/>
        <v>2</v>
      </c>
      <c r="AM33" s="12"/>
      <c r="AN33" s="12"/>
      <c r="AO33" s="12"/>
      <c r="AP33" s="12"/>
      <c r="AQ33" s="55">
        <f t="shared" si="10"/>
        <v>392.20000000000005</v>
      </c>
      <c r="AR33" s="38"/>
      <c r="AS33" s="38">
        <v>192</v>
      </c>
      <c r="AT33" s="26"/>
      <c r="AU33" s="49"/>
      <c r="AV33" s="136"/>
      <c r="AW33" s="137"/>
    </row>
    <row r="34" spans="1:49" s="4" customFormat="1" ht="19.399999999999999" customHeight="1">
      <c r="A34" s="18" t="s">
        <v>134</v>
      </c>
      <c r="B34" s="18" t="s">
        <v>484</v>
      </c>
      <c r="C34" s="19" t="s">
        <v>127</v>
      </c>
      <c r="D34" s="19" t="s">
        <v>127</v>
      </c>
      <c r="E34" s="19" t="s">
        <v>492</v>
      </c>
      <c r="F34" s="58">
        <v>8</v>
      </c>
      <c r="G34" s="43">
        <v>22</v>
      </c>
      <c r="H34" s="44">
        <v>58.6</v>
      </c>
      <c r="I34" s="44" t="s">
        <v>38</v>
      </c>
      <c r="J34" s="43">
        <v>120</v>
      </c>
      <c r="K34" s="44">
        <v>10.5</v>
      </c>
      <c r="L34" s="44" t="s">
        <v>122</v>
      </c>
      <c r="M34" s="43" t="s">
        <v>153</v>
      </c>
      <c r="N34" s="45">
        <v>10</v>
      </c>
      <c r="O34" s="45">
        <v>3</v>
      </c>
      <c r="P34" s="45">
        <v>1</v>
      </c>
      <c r="Q34" s="45">
        <v>1</v>
      </c>
      <c r="R34" s="46">
        <v>4.05</v>
      </c>
      <c r="S34" s="46">
        <v>4.1500000000000004</v>
      </c>
      <c r="T34" s="46">
        <v>286</v>
      </c>
      <c r="U34" s="47">
        <v>2974</v>
      </c>
      <c r="V34" s="23">
        <v>24</v>
      </c>
      <c r="W34" s="38">
        <v>0</v>
      </c>
      <c r="X34" s="38">
        <v>0</v>
      </c>
      <c r="Y34" s="38">
        <v>24</v>
      </c>
      <c r="Z34" s="38">
        <v>0</v>
      </c>
      <c r="AA34" s="44">
        <v>0</v>
      </c>
      <c r="AB34" s="44">
        <f t="shared" ref="AB34" si="21">AA34/24</f>
        <v>0</v>
      </c>
      <c r="AC34" s="52" t="s">
        <v>113</v>
      </c>
      <c r="AD34" s="40">
        <v>237</v>
      </c>
      <c r="AE34" s="40"/>
      <c r="AF34" s="41">
        <v>0</v>
      </c>
      <c r="AG34" s="40">
        <v>0</v>
      </c>
      <c r="AH34" s="38">
        <v>0</v>
      </c>
      <c r="AI34" s="38">
        <v>0</v>
      </c>
      <c r="AJ34" s="38">
        <v>2</v>
      </c>
      <c r="AK34" s="38">
        <v>0</v>
      </c>
      <c r="AL34" s="24">
        <f t="shared" si="1"/>
        <v>2</v>
      </c>
      <c r="AM34" s="12"/>
      <c r="AN34" s="12"/>
      <c r="AO34" s="12"/>
      <c r="AP34" s="12"/>
      <c r="AQ34" s="55">
        <f t="shared" si="10"/>
        <v>390.20000000000005</v>
      </c>
      <c r="AR34" s="38"/>
      <c r="AS34" s="38">
        <v>188</v>
      </c>
      <c r="AT34" s="26"/>
      <c r="AU34" s="49"/>
      <c r="AV34" s="136"/>
      <c r="AW34" s="137"/>
    </row>
    <row r="35" spans="1:49" s="4" customFormat="1" ht="19.399999999999999" customHeight="1">
      <c r="A35" s="18" t="s">
        <v>134</v>
      </c>
      <c r="B35" s="18" t="s">
        <v>484</v>
      </c>
      <c r="C35" s="19" t="s">
        <v>127</v>
      </c>
      <c r="D35" s="19" t="s">
        <v>127</v>
      </c>
      <c r="E35" s="19" t="s">
        <v>493</v>
      </c>
      <c r="F35" s="58">
        <v>8</v>
      </c>
      <c r="G35" s="43">
        <v>22</v>
      </c>
      <c r="H35" s="44">
        <v>58.6</v>
      </c>
      <c r="I35" s="44" t="s">
        <v>38</v>
      </c>
      <c r="J35" s="43">
        <v>120</v>
      </c>
      <c r="K35" s="44">
        <v>10.5</v>
      </c>
      <c r="L35" s="44" t="s">
        <v>122</v>
      </c>
      <c r="M35" s="43" t="s">
        <v>494</v>
      </c>
      <c r="N35" s="45">
        <v>10</v>
      </c>
      <c r="O35" s="45">
        <v>3</v>
      </c>
      <c r="P35" s="45">
        <v>1</v>
      </c>
      <c r="Q35" s="45">
        <v>1</v>
      </c>
      <c r="R35" s="46">
        <v>4.05</v>
      </c>
      <c r="S35" s="46">
        <v>4.1500000000000004</v>
      </c>
      <c r="T35" s="46">
        <v>286</v>
      </c>
      <c r="U35" s="47">
        <v>2974</v>
      </c>
      <c r="V35" s="23">
        <v>24</v>
      </c>
      <c r="W35" s="38">
        <v>0</v>
      </c>
      <c r="X35" s="38">
        <v>0</v>
      </c>
      <c r="Y35" s="38">
        <v>24</v>
      </c>
      <c r="Z35" s="38">
        <v>0</v>
      </c>
      <c r="AA35" s="44">
        <v>0</v>
      </c>
      <c r="AB35" s="44">
        <f t="shared" ref="AB35" si="22">AA35/24</f>
        <v>0</v>
      </c>
      <c r="AC35" s="52" t="s">
        <v>113</v>
      </c>
      <c r="AD35" s="40">
        <v>234</v>
      </c>
      <c r="AE35" s="40"/>
      <c r="AF35" s="41">
        <v>0</v>
      </c>
      <c r="AG35" s="40">
        <v>0</v>
      </c>
      <c r="AH35" s="38">
        <v>0</v>
      </c>
      <c r="AI35" s="38">
        <v>0</v>
      </c>
      <c r="AJ35" s="38">
        <v>1.7</v>
      </c>
      <c r="AK35" s="38">
        <v>0</v>
      </c>
      <c r="AL35" s="24">
        <f t="shared" si="1"/>
        <v>1.7</v>
      </c>
      <c r="AM35" s="12"/>
      <c r="AN35" s="12"/>
      <c r="AO35" s="12"/>
      <c r="AP35" s="12"/>
      <c r="AQ35" s="55">
        <f t="shared" si="10"/>
        <v>388.50000000000006</v>
      </c>
      <c r="AR35" s="38"/>
      <c r="AS35" s="38">
        <v>183</v>
      </c>
      <c r="AT35" s="26"/>
      <c r="AU35" s="49"/>
      <c r="AV35" s="136"/>
      <c r="AW35" s="137"/>
    </row>
    <row r="36" spans="1:49" s="4" customFormat="1" ht="19.399999999999999" customHeight="1">
      <c r="A36" s="18" t="s">
        <v>134</v>
      </c>
      <c r="B36" s="18" t="s">
        <v>484</v>
      </c>
      <c r="C36" s="19" t="s">
        <v>127</v>
      </c>
      <c r="D36" s="19" t="s">
        <v>127</v>
      </c>
      <c r="E36" s="19" t="s">
        <v>495</v>
      </c>
      <c r="F36" s="58">
        <v>8</v>
      </c>
      <c r="G36" s="43">
        <v>22</v>
      </c>
      <c r="H36" s="44">
        <v>58.6</v>
      </c>
      <c r="I36" s="44" t="s">
        <v>38</v>
      </c>
      <c r="J36" s="43">
        <v>120</v>
      </c>
      <c r="K36" s="44">
        <v>10.5</v>
      </c>
      <c r="L36" s="44" t="s">
        <v>122</v>
      </c>
      <c r="M36" s="43" t="s">
        <v>494</v>
      </c>
      <c r="N36" s="45">
        <v>0</v>
      </c>
      <c r="O36" s="45">
        <v>3</v>
      </c>
      <c r="P36" s="45">
        <v>1</v>
      </c>
      <c r="Q36" s="45">
        <v>1</v>
      </c>
      <c r="R36" s="46">
        <v>4.05</v>
      </c>
      <c r="S36" s="46">
        <v>4.1500000000000004</v>
      </c>
      <c r="T36" s="46">
        <v>286</v>
      </c>
      <c r="U36" s="47">
        <v>2974</v>
      </c>
      <c r="V36" s="23">
        <v>24</v>
      </c>
      <c r="W36" s="38">
        <v>0</v>
      </c>
      <c r="X36" s="38">
        <v>0</v>
      </c>
      <c r="Y36" s="38">
        <v>24</v>
      </c>
      <c r="Z36" s="38">
        <v>0</v>
      </c>
      <c r="AA36" s="44">
        <v>0</v>
      </c>
      <c r="AB36" s="44">
        <f t="shared" ref="AB36" si="23">AA36/24</f>
        <v>0</v>
      </c>
      <c r="AC36" s="52" t="s">
        <v>113</v>
      </c>
      <c r="AD36" s="40">
        <v>227</v>
      </c>
      <c r="AE36" s="40"/>
      <c r="AF36" s="41">
        <v>0</v>
      </c>
      <c r="AG36" s="40">
        <v>0</v>
      </c>
      <c r="AH36" s="38">
        <v>0</v>
      </c>
      <c r="AI36" s="38">
        <v>0</v>
      </c>
      <c r="AJ36" s="38">
        <v>2</v>
      </c>
      <c r="AK36" s="38">
        <v>0</v>
      </c>
      <c r="AL36" s="24">
        <f t="shared" si="1"/>
        <v>2</v>
      </c>
      <c r="AM36" s="12"/>
      <c r="AN36" s="12"/>
      <c r="AO36" s="12"/>
      <c r="AP36" s="12"/>
      <c r="AQ36" s="55">
        <f t="shared" si="10"/>
        <v>386.50000000000006</v>
      </c>
      <c r="AR36" s="38"/>
      <c r="AS36" s="38">
        <v>178</v>
      </c>
      <c r="AT36" s="26"/>
      <c r="AU36" s="49"/>
      <c r="AV36" s="136"/>
      <c r="AW36" s="137"/>
    </row>
    <row r="37" spans="1:49" ht="18" customHeight="1">
      <c r="A37" s="18" t="s">
        <v>134</v>
      </c>
      <c r="B37" s="18" t="s">
        <v>484</v>
      </c>
      <c r="C37" s="19" t="s">
        <v>127</v>
      </c>
      <c r="D37" s="19" t="s">
        <v>127</v>
      </c>
      <c r="E37" s="19" t="s">
        <v>496</v>
      </c>
      <c r="F37" s="58">
        <v>8</v>
      </c>
      <c r="G37" s="43">
        <v>22</v>
      </c>
      <c r="H37" s="44">
        <v>58.6</v>
      </c>
      <c r="I37" s="44" t="s">
        <v>38</v>
      </c>
      <c r="J37" s="43">
        <v>120</v>
      </c>
      <c r="K37" s="44">
        <v>10.5</v>
      </c>
      <c r="L37" s="44" t="s">
        <v>122</v>
      </c>
      <c r="M37" s="43" t="s">
        <v>115</v>
      </c>
      <c r="N37" s="45">
        <v>6</v>
      </c>
      <c r="O37" s="45">
        <v>2</v>
      </c>
      <c r="P37" s="45">
        <v>1</v>
      </c>
      <c r="Q37" s="45">
        <v>1</v>
      </c>
      <c r="R37" s="46">
        <v>4.05</v>
      </c>
      <c r="S37" s="46">
        <v>4.1500000000000004</v>
      </c>
      <c r="T37" s="46">
        <v>286</v>
      </c>
      <c r="U37" s="47">
        <v>2974</v>
      </c>
      <c r="V37" s="23">
        <v>24</v>
      </c>
      <c r="W37" s="38">
        <v>0</v>
      </c>
      <c r="X37" s="38">
        <v>0</v>
      </c>
      <c r="Y37" s="38">
        <v>24</v>
      </c>
      <c r="Z37" s="38">
        <v>0</v>
      </c>
      <c r="AA37" s="44">
        <v>0</v>
      </c>
      <c r="AB37" s="44">
        <f t="shared" ref="AB37" si="24">AA37/24</f>
        <v>0</v>
      </c>
      <c r="AC37" s="52" t="s">
        <v>113</v>
      </c>
      <c r="AD37" s="40">
        <v>222</v>
      </c>
      <c r="AE37" s="40"/>
      <c r="AF37" s="41">
        <v>0</v>
      </c>
      <c r="AG37" s="40">
        <v>0</v>
      </c>
      <c r="AH37" s="38">
        <v>0</v>
      </c>
      <c r="AI37" s="38">
        <v>0</v>
      </c>
      <c r="AJ37" s="38">
        <v>2</v>
      </c>
      <c r="AK37" s="38">
        <v>0</v>
      </c>
      <c r="AL37" s="24">
        <f t="shared" si="1"/>
        <v>2</v>
      </c>
      <c r="AM37" s="12"/>
      <c r="AN37" s="12"/>
      <c r="AO37" s="12"/>
      <c r="AP37" s="12"/>
      <c r="AQ37" s="55">
        <f t="shared" si="10"/>
        <v>384.50000000000006</v>
      </c>
      <c r="AR37" s="38"/>
      <c r="AS37" s="38">
        <v>173</v>
      </c>
      <c r="AT37" s="26"/>
      <c r="AU37" s="49"/>
      <c r="AV37" s="136"/>
      <c r="AW37" s="137"/>
    </row>
    <row r="38" spans="1:49" ht="19.399999999999999" customHeight="1">
      <c r="A38" s="18" t="s">
        <v>134</v>
      </c>
      <c r="B38" s="18" t="s">
        <v>484</v>
      </c>
      <c r="C38" s="19" t="s">
        <v>127</v>
      </c>
      <c r="D38" s="19" t="s">
        <v>127</v>
      </c>
      <c r="E38" s="19" t="s">
        <v>497</v>
      </c>
      <c r="F38" s="58">
        <v>8</v>
      </c>
      <c r="G38" s="43">
        <v>22</v>
      </c>
      <c r="H38" s="44">
        <v>58.6</v>
      </c>
      <c r="I38" s="44" t="s">
        <v>38</v>
      </c>
      <c r="J38" s="43">
        <v>120</v>
      </c>
      <c r="K38" s="44">
        <v>10.5</v>
      </c>
      <c r="L38" s="44" t="s">
        <v>122</v>
      </c>
      <c r="M38" s="43" t="s">
        <v>498</v>
      </c>
      <c r="N38" s="45">
        <v>6</v>
      </c>
      <c r="O38" s="45">
        <v>2</v>
      </c>
      <c r="P38" s="45">
        <v>1</v>
      </c>
      <c r="Q38" s="45">
        <v>1</v>
      </c>
      <c r="R38" s="46">
        <v>4.05</v>
      </c>
      <c r="S38" s="46">
        <v>4.1500000000000004</v>
      </c>
      <c r="T38" s="46">
        <v>286</v>
      </c>
      <c r="U38" s="47">
        <v>2974</v>
      </c>
      <c r="V38" s="23">
        <v>24</v>
      </c>
      <c r="W38" s="38">
        <v>0</v>
      </c>
      <c r="X38" s="38">
        <v>0</v>
      </c>
      <c r="Y38" s="38">
        <v>24</v>
      </c>
      <c r="Z38" s="38">
        <v>0</v>
      </c>
      <c r="AA38" s="44">
        <v>0</v>
      </c>
      <c r="AB38" s="44">
        <f t="shared" ref="AB38" si="25">AA38/24</f>
        <v>0</v>
      </c>
      <c r="AC38" s="52" t="s">
        <v>113</v>
      </c>
      <c r="AD38" s="40">
        <v>225</v>
      </c>
      <c r="AE38" s="40"/>
      <c r="AF38" s="41">
        <v>0</v>
      </c>
      <c r="AG38" s="40">
        <v>0</v>
      </c>
      <c r="AH38" s="38">
        <v>0</v>
      </c>
      <c r="AI38" s="38">
        <v>0</v>
      </c>
      <c r="AJ38" s="38">
        <v>2</v>
      </c>
      <c r="AK38" s="38">
        <v>0</v>
      </c>
      <c r="AL38" s="24">
        <f t="shared" si="1"/>
        <v>2</v>
      </c>
      <c r="AM38" s="12"/>
      <c r="AN38" s="12"/>
      <c r="AO38" s="12"/>
      <c r="AP38" s="12"/>
      <c r="AQ38" s="55">
        <f t="shared" si="10"/>
        <v>382.50000000000006</v>
      </c>
      <c r="AR38" s="38"/>
      <c r="AS38" s="38">
        <v>168</v>
      </c>
      <c r="AT38" s="26"/>
      <c r="AU38" s="49"/>
      <c r="AV38" s="136"/>
      <c r="AW38" s="137"/>
    </row>
    <row r="39" spans="1:49" ht="19.399999999999999" customHeight="1">
      <c r="A39" s="18" t="s">
        <v>134</v>
      </c>
      <c r="B39" s="18" t="s">
        <v>484</v>
      </c>
      <c r="C39" s="19" t="s">
        <v>127</v>
      </c>
      <c r="D39" s="19" t="s">
        <v>127</v>
      </c>
      <c r="E39" s="19" t="s">
        <v>499</v>
      </c>
      <c r="F39" s="58">
        <v>8</v>
      </c>
      <c r="G39" s="43">
        <v>22</v>
      </c>
      <c r="H39" s="44">
        <v>58.6</v>
      </c>
      <c r="I39" s="44" t="s">
        <v>38</v>
      </c>
      <c r="J39" s="43">
        <v>120</v>
      </c>
      <c r="K39" s="44">
        <v>10.5</v>
      </c>
      <c r="L39" s="44" t="s">
        <v>122</v>
      </c>
      <c r="M39" s="43" t="s">
        <v>500</v>
      </c>
      <c r="N39" s="45">
        <v>10</v>
      </c>
      <c r="O39" s="45">
        <v>4</v>
      </c>
      <c r="P39" s="45">
        <v>3</v>
      </c>
      <c r="Q39" s="45">
        <v>1</v>
      </c>
      <c r="R39" s="46">
        <v>4.05</v>
      </c>
      <c r="S39" s="46">
        <v>4.1500000000000004</v>
      </c>
      <c r="T39" s="46">
        <v>286</v>
      </c>
      <c r="U39" s="47">
        <v>2974</v>
      </c>
      <c r="V39" s="23">
        <v>24</v>
      </c>
      <c r="W39" s="38">
        <v>0</v>
      </c>
      <c r="X39" s="38">
        <v>0</v>
      </c>
      <c r="Y39" s="38">
        <v>24</v>
      </c>
      <c r="Z39" s="38">
        <v>0</v>
      </c>
      <c r="AA39" s="44">
        <v>0</v>
      </c>
      <c r="AB39" s="44">
        <f t="shared" ref="AB39" si="26">AA39/24</f>
        <v>0</v>
      </c>
      <c r="AC39" s="52" t="s">
        <v>113</v>
      </c>
      <c r="AD39" s="40">
        <v>224</v>
      </c>
      <c r="AE39" s="40"/>
      <c r="AF39" s="41">
        <v>0</v>
      </c>
      <c r="AG39" s="40">
        <v>0</v>
      </c>
      <c r="AH39" s="38">
        <v>0</v>
      </c>
      <c r="AI39" s="38">
        <v>0</v>
      </c>
      <c r="AJ39" s="38">
        <v>2</v>
      </c>
      <c r="AK39" s="38">
        <v>0</v>
      </c>
      <c r="AL39" s="24">
        <f t="shared" si="1"/>
        <v>2</v>
      </c>
      <c r="AM39" s="12"/>
      <c r="AN39" s="12"/>
      <c r="AO39" s="12"/>
      <c r="AP39" s="12"/>
      <c r="AQ39" s="55">
        <f t="shared" si="10"/>
        <v>380.50000000000006</v>
      </c>
      <c r="AR39" s="38"/>
      <c r="AS39" s="38">
        <v>163</v>
      </c>
      <c r="AT39" s="26"/>
      <c r="AU39" s="49"/>
      <c r="AV39" s="136"/>
      <c r="AW39" s="137"/>
    </row>
    <row r="40" spans="1:49" ht="19.399999999999999" customHeight="1">
      <c r="A40" s="18" t="s">
        <v>134</v>
      </c>
      <c r="B40" s="18" t="s">
        <v>484</v>
      </c>
      <c r="C40" s="19" t="s">
        <v>127</v>
      </c>
      <c r="D40" s="19" t="s">
        <v>127</v>
      </c>
      <c r="E40" s="19" t="s">
        <v>501</v>
      </c>
      <c r="F40" s="58">
        <v>8</v>
      </c>
      <c r="G40" s="43">
        <v>22</v>
      </c>
      <c r="H40" s="44">
        <v>58.6</v>
      </c>
      <c r="I40" s="44" t="s">
        <v>38</v>
      </c>
      <c r="J40" s="43">
        <v>120</v>
      </c>
      <c r="K40" s="44">
        <v>10.5</v>
      </c>
      <c r="L40" s="44" t="s">
        <v>122</v>
      </c>
      <c r="M40" s="43" t="s">
        <v>96</v>
      </c>
      <c r="N40" s="45">
        <v>2</v>
      </c>
      <c r="O40" s="45">
        <v>3</v>
      </c>
      <c r="P40" s="45">
        <v>1</v>
      </c>
      <c r="Q40" s="45">
        <v>1</v>
      </c>
      <c r="R40" s="46">
        <v>4.05</v>
      </c>
      <c r="S40" s="46">
        <v>4.1500000000000004</v>
      </c>
      <c r="T40" s="46">
        <v>286</v>
      </c>
      <c r="U40" s="47">
        <v>2974</v>
      </c>
      <c r="V40" s="23">
        <v>24</v>
      </c>
      <c r="W40" s="38">
        <v>0</v>
      </c>
      <c r="X40" s="38">
        <v>0</v>
      </c>
      <c r="Y40" s="38">
        <v>24</v>
      </c>
      <c r="Z40" s="38">
        <v>0</v>
      </c>
      <c r="AA40" s="44">
        <v>0</v>
      </c>
      <c r="AB40" s="44">
        <f t="shared" ref="AB40" si="27">AA40/24</f>
        <v>0</v>
      </c>
      <c r="AC40" s="52" t="s">
        <v>113</v>
      </c>
      <c r="AD40" s="40">
        <v>222</v>
      </c>
      <c r="AE40" s="40"/>
      <c r="AF40" s="41">
        <v>0</v>
      </c>
      <c r="AG40" s="40">
        <v>0</v>
      </c>
      <c r="AH40" s="38">
        <v>0</v>
      </c>
      <c r="AI40" s="38">
        <v>0</v>
      </c>
      <c r="AJ40" s="38">
        <v>2</v>
      </c>
      <c r="AK40" s="38">
        <v>0</v>
      </c>
      <c r="AL40" s="24">
        <f t="shared" si="1"/>
        <v>2</v>
      </c>
      <c r="AM40" s="12"/>
      <c r="AN40" s="12"/>
      <c r="AO40" s="12"/>
      <c r="AP40" s="12"/>
      <c r="AQ40" s="55">
        <f t="shared" si="10"/>
        <v>378.50000000000006</v>
      </c>
      <c r="AR40" s="38"/>
      <c r="AS40" s="38">
        <v>159</v>
      </c>
      <c r="AT40" s="26"/>
      <c r="AU40" s="49"/>
      <c r="AV40" s="136"/>
      <c r="AW40" s="137"/>
    </row>
    <row r="41" spans="1:49" ht="19.399999999999999" customHeight="1">
      <c r="A41" s="18" t="s">
        <v>134</v>
      </c>
      <c r="B41" s="18" t="s">
        <v>484</v>
      </c>
      <c r="C41" s="19" t="s">
        <v>127</v>
      </c>
      <c r="D41" s="19" t="s">
        <v>127</v>
      </c>
      <c r="E41" s="19" t="s">
        <v>502</v>
      </c>
      <c r="F41" s="58">
        <v>8</v>
      </c>
      <c r="G41" s="43">
        <v>22</v>
      </c>
      <c r="H41" s="44">
        <v>58.6</v>
      </c>
      <c r="I41" s="44" t="s">
        <v>38</v>
      </c>
      <c r="J41" s="43">
        <v>120</v>
      </c>
      <c r="K41" s="44">
        <v>10.5</v>
      </c>
      <c r="L41" s="44" t="s">
        <v>122</v>
      </c>
      <c r="M41" s="43" t="s">
        <v>96</v>
      </c>
      <c r="N41" s="45">
        <v>2</v>
      </c>
      <c r="O41" s="45">
        <v>3</v>
      </c>
      <c r="P41" s="45">
        <v>1</v>
      </c>
      <c r="Q41" s="45">
        <v>1</v>
      </c>
      <c r="R41" s="46">
        <v>4.05</v>
      </c>
      <c r="S41" s="46">
        <v>4.1500000000000004</v>
      </c>
      <c r="T41" s="46">
        <v>286</v>
      </c>
      <c r="U41" s="47">
        <v>2974</v>
      </c>
      <c r="V41" s="23">
        <v>24</v>
      </c>
      <c r="W41" s="38">
        <v>0</v>
      </c>
      <c r="X41" s="38">
        <v>0</v>
      </c>
      <c r="Y41" s="38">
        <v>24</v>
      </c>
      <c r="Z41" s="38">
        <v>0</v>
      </c>
      <c r="AA41" s="44">
        <v>0</v>
      </c>
      <c r="AB41" s="44">
        <f t="shared" ref="AB41" si="28">AA41/24</f>
        <v>0</v>
      </c>
      <c r="AC41" s="52" t="s">
        <v>113</v>
      </c>
      <c r="AD41" s="40">
        <v>221</v>
      </c>
      <c r="AE41" s="40"/>
      <c r="AF41" s="41">
        <v>0</v>
      </c>
      <c r="AG41" s="40">
        <v>0</v>
      </c>
      <c r="AH41" s="38">
        <v>0</v>
      </c>
      <c r="AI41" s="38">
        <v>0</v>
      </c>
      <c r="AJ41" s="38">
        <v>2.2000000000000002</v>
      </c>
      <c r="AK41" s="38">
        <v>0</v>
      </c>
      <c r="AL41" s="24">
        <f t="shared" si="1"/>
        <v>2.2000000000000002</v>
      </c>
      <c r="AM41" s="12"/>
      <c r="AN41" s="12"/>
      <c r="AO41" s="12"/>
      <c r="AP41" s="12"/>
      <c r="AQ41" s="55">
        <f t="shared" si="10"/>
        <v>376.30000000000007</v>
      </c>
      <c r="AR41" s="38"/>
      <c r="AS41" s="38">
        <v>153</v>
      </c>
      <c r="AT41" s="26"/>
      <c r="AU41" s="49"/>
      <c r="AV41" s="136"/>
      <c r="AW41" s="137"/>
    </row>
    <row r="42" spans="1:49" ht="19.399999999999999" customHeight="1">
      <c r="A42" s="18" t="s">
        <v>134</v>
      </c>
      <c r="B42" s="18" t="s">
        <v>484</v>
      </c>
      <c r="C42" s="19" t="s">
        <v>127</v>
      </c>
      <c r="D42" s="19" t="s">
        <v>127</v>
      </c>
      <c r="E42" s="19" t="s">
        <v>503</v>
      </c>
      <c r="F42" s="58">
        <v>8</v>
      </c>
      <c r="G42" s="43">
        <v>22</v>
      </c>
      <c r="H42" s="44">
        <v>58.6</v>
      </c>
      <c r="I42" s="44" t="s">
        <v>38</v>
      </c>
      <c r="J42" s="43">
        <v>120</v>
      </c>
      <c r="K42" s="44">
        <v>10.5</v>
      </c>
      <c r="L42" s="44" t="s">
        <v>122</v>
      </c>
      <c r="M42" s="43" t="s">
        <v>96</v>
      </c>
      <c r="N42" s="45">
        <v>2</v>
      </c>
      <c r="O42" s="45">
        <v>3</v>
      </c>
      <c r="P42" s="45">
        <v>1</v>
      </c>
      <c r="Q42" s="45">
        <v>1</v>
      </c>
      <c r="R42" s="46">
        <v>4.05</v>
      </c>
      <c r="S42" s="46">
        <v>4.1500000000000004</v>
      </c>
      <c r="T42" s="46">
        <v>286</v>
      </c>
      <c r="U42" s="47">
        <v>2974</v>
      </c>
      <c r="V42" s="23">
        <v>24</v>
      </c>
      <c r="W42" s="38">
        <v>0</v>
      </c>
      <c r="X42" s="38">
        <v>0</v>
      </c>
      <c r="Y42" s="38">
        <v>24</v>
      </c>
      <c r="Z42" s="38">
        <v>0</v>
      </c>
      <c r="AA42" s="44">
        <v>0</v>
      </c>
      <c r="AB42" s="44">
        <f t="shared" ref="AB42" si="29">AA42/24</f>
        <v>0</v>
      </c>
      <c r="AC42" s="52" t="s">
        <v>119</v>
      </c>
      <c r="AD42" s="40">
        <v>220</v>
      </c>
      <c r="AE42" s="40"/>
      <c r="AF42" s="40">
        <v>0</v>
      </c>
      <c r="AG42" s="40">
        <v>0</v>
      </c>
      <c r="AH42" s="38">
        <v>0</v>
      </c>
      <c r="AI42" s="38">
        <v>0</v>
      </c>
      <c r="AJ42" s="38">
        <v>2</v>
      </c>
      <c r="AK42" s="38">
        <v>0</v>
      </c>
      <c r="AL42" s="24">
        <f t="shared" si="1"/>
        <v>2</v>
      </c>
      <c r="AM42" s="12"/>
      <c r="AN42" s="12"/>
      <c r="AO42" s="12"/>
      <c r="AP42" s="12"/>
      <c r="AQ42" s="55">
        <f t="shared" si="10"/>
        <v>374.30000000000007</v>
      </c>
      <c r="AR42" s="38"/>
      <c r="AS42" s="38">
        <v>149</v>
      </c>
      <c r="AT42" s="26"/>
      <c r="AU42" s="49"/>
      <c r="AV42" s="136"/>
      <c r="AW42" s="137"/>
    </row>
    <row r="43" spans="1:49" ht="19.399999999999999" customHeight="1">
      <c r="A43" s="18" t="s">
        <v>134</v>
      </c>
      <c r="B43" s="18" t="s">
        <v>484</v>
      </c>
      <c r="C43" s="19" t="s">
        <v>127</v>
      </c>
      <c r="D43" s="19" t="s">
        <v>127</v>
      </c>
      <c r="E43" s="19" t="s">
        <v>504</v>
      </c>
      <c r="F43" s="58">
        <v>8</v>
      </c>
      <c r="G43" s="43">
        <v>22</v>
      </c>
      <c r="H43" s="44">
        <v>58.6</v>
      </c>
      <c r="I43" s="44" t="s">
        <v>38</v>
      </c>
      <c r="J43" s="43">
        <v>120</v>
      </c>
      <c r="K43" s="44">
        <v>10.5</v>
      </c>
      <c r="L43" s="44" t="s">
        <v>122</v>
      </c>
      <c r="M43" s="43" t="s">
        <v>96</v>
      </c>
      <c r="N43" s="45">
        <v>2</v>
      </c>
      <c r="O43" s="45">
        <v>3</v>
      </c>
      <c r="P43" s="45">
        <v>1</v>
      </c>
      <c r="Q43" s="45">
        <v>1</v>
      </c>
      <c r="R43" s="46">
        <v>4.05</v>
      </c>
      <c r="S43" s="46">
        <v>4.1500000000000004</v>
      </c>
      <c r="T43" s="46">
        <v>286</v>
      </c>
      <c r="U43" s="47">
        <v>2974</v>
      </c>
      <c r="V43" s="23">
        <v>24</v>
      </c>
      <c r="W43" s="38">
        <v>0</v>
      </c>
      <c r="X43" s="38">
        <v>0</v>
      </c>
      <c r="Y43" s="38">
        <v>24</v>
      </c>
      <c r="Z43" s="38">
        <v>0</v>
      </c>
      <c r="AA43" s="44">
        <v>0</v>
      </c>
      <c r="AB43" s="44">
        <f t="shared" ref="AB43" si="30">AA43/24</f>
        <v>0</v>
      </c>
      <c r="AC43" s="52" t="s">
        <v>119</v>
      </c>
      <c r="AD43" s="40">
        <v>251</v>
      </c>
      <c r="AE43" s="40"/>
      <c r="AF43" s="40">
        <v>0</v>
      </c>
      <c r="AG43" s="40">
        <v>0</v>
      </c>
      <c r="AH43" s="38">
        <v>0</v>
      </c>
      <c r="AI43" s="38">
        <v>0</v>
      </c>
      <c r="AJ43" s="38">
        <v>1.8</v>
      </c>
      <c r="AK43" s="38">
        <v>0</v>
      </c>
      <c r="AL43" s="24">
        <f t="shared" si="1"/>
        <v>1.8</v>
      </c>
      <c r="AM43" s="12"/>
      <c r="AN43" s="12"/>
      <c r="AO43" s="12"/>
      <c r="AP43" s="12"/>
      <c r="AQ43" s="55">
        <f t="shared" si="10"/>
        <v>372.50000000000006</v>
      </c>
      <c r="AR43" s="38"/>
      <c r="AS43" s="38">
        <v>144</v>
      </c>
      <c r="AT43" s="26"/>
      <c r="AU43" s="49"/>
      <c r="AV43" s="136" t="s">
        <v>505</v>
      </c>
      <c r="AW43" s="137"/>
    </row>
    <row r="44" spans="1:49" ht="19.399999999999999" customHeight="1">
      <c r="A44" s="18" t="s">
        <v>134</v>
      </c>
      <c r="B44" s="18" t="s">
        <v>484</v>
      </c>
      <c r="C44" s="19" t="s">
        <v>127</v>
      </c>
      <c r="D44" s="19" t="s">
        <v>127</v>
      </c>
      <c r="E44" s="19" t="s">
        <v>507</v>
      </c>
      <c r="F44" s="58">
        <v>8</v>
      </c>
      <c r="G44" s="43">
        <v>22</v>
      </c>
      <c r="H44" s="44">
        <v>58.6</v>
      </c>
      <c r="I44" s="44" t="s">
        <v>38</v>
      </c>
      <c r="J44" s="43">
        <v>120</v>
      </c>
      <c r="K44" s="44">
        <v>10.5</v>
      </c>
      <c r="L44" s="44" t="s">
        <v>122</v>
      </c>
      <c r="M44" s="43" t="s">
        <v>96</v>
      </c>
      <c r="N44" s="45">
        <v>2</v>
      </c>
      <c r="O44" s="45">
        <v>3</v>
      </c>
      <c r="P44" s="45">
        <v>1</v>
      </c>
      <c r="Q44" s="45">
        <v>1</v>
      </c>
      <c r="R44" s="46">
        <v>4.05</v>
      </c>
      <c r="S44" s="46">
        <v>4.1500000000000004</v>
      </c>
      <c r="T44" s="46">
        <v>286</v>
      </c>
      <c r="U44" s="47">
        <v>2974</v>
      </c>
      <c r="V44" s="23">
        <v>24</v>
      </c>
      <c r="W44" s="38">
        <v>0</v>
      </c>
      <c r="X44" s="38">
        <v>0</v>
      </c>
      <c r="Y44" s="38">
        <v>24</v>
      </c>
      <c r="Z44" s="38">
        <v>0</v>
      </c>
      <c r="AA44" s="44">
        <v>0</v>
      </c>
      <c r="AB44" s="44">
        <f t="shared" ref="AB44" si="31">AA44/24</f>
        <v>0</v>
      </c>
      <c r="AC44" s="52" t="s">
        <v>119</v>
      </c>
      <c r="AD44" s="40">
        <v>208</v>
      </c>
      <c r="AE44" s="40"/>
      <c r="AF44" s="40">
        <v>0</v>
      </c>
      <c r="AG44" s="40">
        <v>0</v>
      </c>
      <c r="AH44" s="38">
        <v>0</v>
      </c>
      <c r="AI44" s="38">
        <v>0</v>
      </c>
      <c r="AJ44" s="38">
        <v>1.5</v>
      </c>
      <c r="AK44" s="38">
        <v>0</v>
      </c>
      <c r="AL44" s="24">
        <f t="shared" si="1"/>
        <v>1.5</v>
      </c>
      <c r="AM44" s="12"/>
      <c r="AN44" s="12"/>
      <c r="AO44" s="12"/>
      <c r="AP44" s="12"/>
      <c r="AQ44" s="55">
        <f t="shared" si="10"/>
        <v>371.00000000000006</v>
      </c>
      <c r="AR44" s="38"/>
      <c r="AS44" s="38">
        <v>300</v>
      </c>
      <c r="AT44" s="26"/>
      <c r="AU44" s="49"/>
      <c r="AV44" s="136" t="s">
        <v>506</v>
      </c>
      <c r="AW44" s="137"/>
    </row>
    <row r="45" spans="1:49" ht="19.399999999999999" customHeight="1">
      <c r="A45" s="18" t="s">
        <v>134</v>
      </c>
      <c r="B45" s="18" t="s">
        <v>484</v>
      </c>
      <c r="C45" s="19" t="s">
        <v>127</v>
      </c>
      <c r="D45" s="19" t="s">
        <v>127</v>
      </c>
      <c r="E45" s="19" t="s">
        <v>508</v>
      </c>
      <c r="F45" s="58">
        <v>8</v>
      </c>
      <c r="G45" s="43">
        <v>22</v>
      </c>
      <c r="H45" s="44">
        <v>58.6</v>
      </c>
      <c r="I45" s="44" t="s">
        <v>38</v>
      </c>
      <c r="J45" s="43">
        <v>120</v>
      </c>
      <c r="K45" s="44">
        <v>10.5</v>
      </c>
      <c r="L45" s="44" t="s">
        <v>122</v>
      </c>
      <c r="M45" s="43" t="s">
        <v>96</v>
      </c>
      <c r="N45" s="45">
        <v>2</v>
      </c>
      <c r="O45" s="45">
        <v>3</v>
      </c>
      <c r="P45" s="45">
        <v>1</v>
      </c>
      <c r="Q45" s="45">
        <v>1</v>
      </c>
      <c r="R45" s="46">
        <v>4.05</v>
      </c>
      <c r="S45" s="46">
        <v>4.1500000000000004</v>
      </c>
      <c r="T45" s="46">
        <v>286</v>
      </c>
      <c r="U45" s="47">
        <v>2974</v>
      </c>
      <c r="V45" s="23">
        <v>24</v>
      </c>
      <c r="W45" s="38">
        <v>0</v>
      </c>
      <c r="X45" s="38">
        <v>0</v>
      </c>
      <c r="Y45" s="38">
        <v>24</v>
      </c>
      <c r="Z45" s="38">
        <v>0</v>
      </c>
      <c r="AA45" s="44">
        <v>0</v>
      </c>
      <c r="AB45" s="44">
        <f t="shared" ref="AB45" si="32">AA45/24</f>
        <v>0</v>
      </c>
      <c r="AC45" s="52" t="s">
        <v>119</v>
      </c>
      <c r="AD45" s="40">
        <v>211</v>
      </c>
      <c r="AE45" s="40"/>
      <c r="AF45" s="40">
        <v>0</v>
      </c>
      <c r="AG45" s="40">
        <v>0</v>
      </c>
      <c r="AH45" s="38">
        <v>0</v>
      </c>
      <c r="AI45" s="38">
        <v>0</v>
      </c>
      <c r="AJ45" s="38">
        <v>1.6</v>
      </c>
      <c r="AK45" s="38">
        <v>0</v>
      </c>
      <c r="AL45" s="24">
        <f t="shared" si="1"/>
        <v>1.6</v>
      </c>
      <c r="AM45" s="12"/>
      <c r="AN45" s="12"/>
      <c r="AO45" s="12"/>
      <c r="AP45" s="12"/>
      <c r="AQ45" s="55">
        <f t="shared" si="10"/>
        <v>369.40000000000003</v>
      </c>
      <c r="AR45" s="38"/>
      <c r="AS45" s="38">
        <v>296</v>
      </c>
      <c r="AT45" s="26"/>
      <c r="AU45" s="49"/>
      <c r="AV45" s="136"/>
      <c r="AW45" s="137"/>
    </row>
    <row r="46" spans="1:49" ht="19.399999999999999" customHeight="1">
      <c r="A46" s="18" t="s">
        <v>134</v>
      </c>
      <c r="B46" s="18" t="s">
        <v>484</v>
      </c>
      <c r="C46" s="19" t="s">
        <v>127</v>
      </c>
      <c r="D46" s="19" t="s">
        <v>127</v>
      </c>
      <c r="E46" s="19" t="s">
        <v>510</v>
      </c>
      <c r="F46" s="58">
        <v>8</v>
      </c>
      <c r="G46" s="43">
        <v>22</v>
      </c>
      <c r="H46" s="44">
        <v>58.6</v>
      </c>
      <c r="I46" s="44" t="s">
        <v>38</v>
      </c>
      <c r="J46" s="43">
        <v>120</v>
      </c>
      <c r="K46" s="44">
        <v>10.5</v>
      </c>
      <c r="L46" s="44" t="s">
        <v>122</v>
      </c>
      <c r="M46" s="43" t="s">
        <v>509</v>
      </c>
      <c r="N46" s="45">
        <v>2</v>
      </c>
      <c r="O46" s="45">
        <v>3</v>
      </c>
      <c r="P46" s="45">
        <v>1</v>
      </c>
      <c r="Q46" s="45">
        <v>1</v>
      </c>
      <c r="R46" s="46">
        <v>4.05</v>
      </c>
      <c r="S46" s="46">
        <v>4.1500000000000004</v>
      </c>
      <c r="T46" s="46">
        <v>286</v>
      </c>
      <c r="U46" s="47">
        <v>2974</v>
      </c>
      <c r="V46" s="23">
        <v>24</v>
      </c>
      <c r="W46" s="38">
        <v>0</v>
      </c>
      <c r="X46" s="38">
        <v>0</v>
      </c>
      <c r="Y46" s="38">
        <v>24</v>
      </c>
      <c r="Z46" s="38">
        <v>0</v>
      </c>
      <c r="AA46" s="44">
        <v>0</v>
      </c>
      <c r="AB46" s="44">
        <f t="shared" ref="AB46" si="33">AA46/24</f>
        <v>0</v>
      </c>
      <c r="AC46" s="52" t="s">
        <v>119</v>
      </c>
      <c r="AD46" s="41">
        <v>201</v>
      </c>
      <c r="AE46" s="40"/>
      <c r="AF46" s="40">
        <v>0</v>
      </c>
      <c r="AG46" s="40">
        <v>0</v>
      </c>
      <c r="AH46" s="38">
        <v>0</v>
      </c>
      <c r="AI46" s="38">
        <v>0</v>
      </c>
      <c r="AJ46" s="38">
        <v>1</v>
      </c>
      <c r="AK46" s="38">
        <v>0</v>
      </c>
      <c r="AL46" s="24">
        <f t="shared" si="1"/>
        <v>1</v>
      </c>
      <c r="AM46" s="12"/>
      <c r="AN46" s="12"/>
      <c r="AO46" s="12"/>
      <c r="AP46" s="12"/>
      <c r="AQ46" s="55">
        <f t="shared" si="10"/>
        <v>368.40000000000003</v>
      </c>
      <c r="AR46" s="38"/>
      <c r="AS46" s="38">
        <v>291</v>
      </c>
      <c r="AT46" s="26"/>
      <c r="AU46" s="49"/>
      <c r="AV46" s="136"/>
      <c r="AW46" s="137"/>
    </row>
    <row r="47" spans="1:49" ht="19.399999999999999" customHeight="1">
      <c r="A47" s="18" t="s">
        <v>134</v>
      </c>
      <c r="B47" s="18" t="s">
        <v>484</v>
      </c>
      <c r="C47" s="19" t="s">
        <v>127</v>
      </c>
      <c r="D47" s="19" t="s">
        <v>127</v>
      </c>
      <c r="E47" s="19" t="s">
        <v>511</v>
      </c>
      <c r="F47" s="58">
        <v>8</v>
      </c>
      <c r="G47" s="43">
        <v>22</v>
      </c>
      <c r="H47" s="44">
        <v>58.6</v>
      </c>
      <c r="I47" s="44" t="s">
        <v>38</v>
      </c>
      <c r="J47" s="43">
        <v>120</v>
      </c>
      <c r="K47" s="44">
        <v>10.5</v>
      </c>
      <c r="L47" s="44" t="s">
        <v>122</v>
      </c>
      <c r="M47" s="43" t="s">
        <v>117</v>
      </c>
      <c r="N47" s="45">
        <v>2</v>
      </c>
      <c r="O47" s="45">
        <v>3</v>
      </c>
      <c r="P47" s="45">
        <v>1</v>
      </c>
      <c r="Q47" s="45">
        <v>1</v>
      </c>
      <c r="R47" s="46">
        <v>4.05</v>
      </c>
      <c r="S47" s="46">
        <v>4.1500000000000004</v>
      </c>
      <c r="T47" s="46">
        <v>286</v>
      </c>
      <c r="U47" s="47">
        <v>2974</v>
      </c>
      <c r="V47" s="23">
        <v>24</v>
      </c>
      <c r="W47" s="38">
        <v>0</v>
      </c>
      <c r="X47" s="38">
        <v>0</v>
      </c>
      <c r="Y47" s="38">
        <v>24</v>
      </c>
      <c r="Z47" s="38">
        <v>0</v>
      </c>
      <c r="AA47" s="44">
        <v>0</v>
      </c>
      <c r="AB47" s="44">
        <f t="shared" ref="AB47" si="34">AA47/24</f>
        <v>0</v>
      </c>
      <c r="AC47" s="52" t="s">
        <v>119</v>
      </c>
      <c r="AD47" s="41">
        <v>200</v>
      </c>
      <c r="AE47" s="40"/>
      <c r="AF47" s="41">
        <v>0</v>
      </c>
      <c r="AG47" s="40">
        <v>0</v>
      </c>
      <c r="AH47" s="38">
        <v>0</v>
      </c>
      <c r="AI47" s="38">
        <v>0</v>
      </c>
      <c r="AJ47" s="38">
        <v>1</v>
      </c>
      <c r="AK47" s="38">
        <v>0</v>
      </c>
      <c r="AL47" s="24">
        <f t="shared" si="1"/>
        <v>1</v>
      </c>
      <c r="AM47" s="12"/>
      <c r="AN47" s="12"/>
      <c r="AO47" s="12"/>
      <c r="AP47" s="12"/>
      <c r="AQ47" s="55">
        <f t="shared" si="10"/>
        <v>367.40000000000003</v>
      </c>
      <c r="AR47" s="38"/>
      <c r="AS47" s="38">
        <v>287</v>
      </c>
      <c r="AT47" s="26"/>
      <c r="AU47" s="49"/>
      <c r="AV47" s="136"/>
      <c r="AW47" s="137"/>
    </row>
    <row r="48" spans="1:49" ht="19.399999999999999" customHeight="1">
      <c r="A48" s="18" t="s">
        <v>134</v>
      </c>
      <c r="B48" s="18" t="s">
        <v>512</v>
      </c>
      <c r="C48" s="19" t="s">
        <v>127</v>
      </c>
      <c r="D48" s="19" t="s">
        <v>514</v>
      </c>
      <c r="E48" s="19" t="s">
        <v>513</v>
      </c>
      <c r="F48" s="58">
        <v>8</v>
      </c>
      <c r="G48" s="43">
        <v>22</v>
      </c>
      <c r="H48" s="44">
        <v>59.2</v>
      </c>
      <c r="I48" s="44" t="s">
        <v>38</v>
      </c>
      <c r="J48" s="43">
        <v>120</v>
      </c>
      <c r="K48" s="44">
        <v>1.9</v>
      </c>
      <c r="L48" s="44" t="s">
        <v>122</v>
      </c>
      <c r="M48" s="43" t="s">
        <v>117</v>
      </c>
      <c r="N48" s="45">
        <v>10</v>
      </c>
      <c r="O48" s="45">
        <v>5</v>
      </c>
      <c r="P48" s="45">
        <v>3</v>
      </c>
      <c r="Q48" s="45">
        <v>2</v>
      </c>
      <c r="R48" s="46">
        <v>4.0999999999999996</v>
      </c>
      <c r="S48" s="46">
        <v>4.2</v>
      </c>
      <c r="T48" s="46">
        <v>286</v>
      </c>
      <c r="U48" s="47">
        <v>3096</v>
      </c>
      <c r="V48" s="23">
        <v>24</v>
      </c>
      <c r="W48" s="38">
        <v>1.4</v>
      </c>
      <c r="X48" s="38">
        <v>0.8</v>
      </c>
      <c r="Y48" s="38">
        <v>21.8</v>
      </c>
      <c r="Z48" s="38">
        <v>0</v>
      </c>
      <c r="AA48" s="44">
        <v>8.4</v>
      </c>
      <c r="AB48" s="44">
        <f t="shared" ref="AB48:AB49" si="35">AA48/24</f>
        <v>0.35000000000000003</v>
      </c>
      <c r="AC48" s="52" t="s">
        <v>126</v>
      </c>
      <c r="AD48" s="40" t="s">
        <v>515</v>
      </c>
      <c r="AE48" s="40"/>
      <c r="AF48" s="41" t="s">
        <v>121</v>
      </c>
      <c r="AG48" s="40" t="s">
        <v>152</v>
      </c>
      <c r="AH48" s="38">
        <v>0.5</v>
      </c>
      <c r="AI48" s="38">
        <v>0.1</v>
      </c>
      <c r="AJ48" s="38">
        <v>1</v>
      </c>
      <c r="AK48" s="38">
        <v>0</v>
      </c>
      <c r="AL48" s="24">
        <f t="shared" si="1"/>
        <v>1.6</v>
      </c>
      <c r="AM48" s="12"/>
      <c r="AN48" s="12"/>
      <c r="AO48" s="12"/>
      <c r="AP48" s="12"/>
      <c r="AQ48" s="55">
        <f t="shared" si="10"/>
        <v>365.8</v>
      </c>
      <c r="AR48" s="38"/>
      <c r="AS48" s="38">
        <v>283</v>
      </c>
      <c r="AT48" s="26"/>
      <c r="AU48" s="49"/>
      <c r="AV48" s="136"/>
      <c r="AW48" s="137"/>
    </row>
    <row r="49" spans="1:49" ht="19.399999999999999" customHeight="1">
      <c r="A49" s="18" t="s">
        <v>134</v>
      </c>
      <c r="B49" s="18" t="s">
        <v>512</v>
      </c>
      <c r="C49" s="19" t="s">
        <v>127</v>
      </c>
      <c r="D49" s="19" t="s">
        <v>514</v>
      </c>
      <c r="E49" s="19" t="s">
        <v>518</v>
      </c>
      <c r="F49" s="58">
        <v>8</v>
      </c>
      <c r="G49" s="43">
        <v>25</v>
      </c>
      <c r="H49" s="44">
        <v>15.1</v>
      </c>
      <c r="I49" s="44" t="s">
        <v>38</v>
      </c>
      <c r="J49" s="43">
        <v>121</v>
      </c>
      <c r="K49" s="44">
        <v>44.1</v>
      </c>
      <c r="L49" s="44" t="s">
        <v>122</v>
      </c>
      <c r="M49" s="43" t="s">
        <v>117</v>
      </c>
      <c r="N49" s="45">
        <v>7</v>
      </c>
      <c r="O49" s="45">
        <v>5</v>
      </c>
      <c r="P49" s="45">
        <v>3</v>
      </c>
      <c r="Q49" s="45">
        <v>1</v>
      </c>
      <c r="R49" s="46">
        <v>4.0999999999999996</v>
      </c>
      <c r="S49" s="46">
        <v>4.2</v>
      </c>
      <c r="T49" s="46">
        <v>286</v>
      </c>
      <c r="U49" s="47">
        <v>3096</v>
      </c>
      <c r="V49" s="23">
        <v>24</v>
      </c>
      <c r="W49" s="38">
        <v>24</v>
      </c>
      <c r="X49" s="38">
        <v>0</v>
      </c>
      <c r="Y49" s="38">
        <v>0</v>
      </c>
      <c r="Z49" s="38">
        <v>0</v>
      </c>
      <c r="AA49" s="44">
        <v>192.2</v>
      </c>
      <c r="AB49" s="44">
        <f t="shared" si="35"/>
        <v>8.0083333333333329</v>
      </c>
      <c r="AC49" s="52" t="s">
        <v>125</v>
      </c>
      <c r="AD49" s="40" t="s">
        <v>516</v>
      </c>
      <c r="AE49" s="40"/>
      <c r="AF49" s="41" t="s">
        <v>121</v>
      </c>
      <c r="AG49" s="40" t="s">
        <v>517</v>
      </c>
      <c r="AH49" s="38">
        <v>4.8</v>
      </c>
      <c r="AI49" s="38">
        <v>0</v>
      </c>
      <c r="AJ49" s="38">
        <v>0</v>
      </c>
      <c r="AK49" s="38">
        <v>0</v>
      </c>
      <c r="AL49" s="24">
        <f t="shared" si="1"/>
        <v>4.8</v>
      </c>
      <c r="AM49" s="12"/>
      <c r="AN49" s="12"/>
      <c r="AO49" s="12"/>
      <c r="AP49" s="12"/>
      <c r="AQ49" s="55">
        <f t="shared" si="10"/>
        <v>361</v>
      </c>
      <c r="AR49" s="38"/>
      <c r="AS49" s="38">
        <v>278</v>
      </c>
      <c r="AT49" s="26"/>
      <c r="AU49" s="49"/>
      <c r="AV49" s="136"/>
      <c r="AW49" s="137"/>
    </row>
    <row r="50" spans="1:49" ht="19.399999999999999" customHeight="1">
      <c r="A50" s="18" t="s">
        <v>134</v>
      </c>
      <c r="B50" s="18" t="s">
        <v>512</v>
      </c>
      <c r="C50" s="19" t="s">
        <v>127</v>
      </c>
      <c r="D50" s="19" t="s">
        <v>175</v>
      </c>
      <c r="E50" s="19" t="s">
        <v>521</v>
      </c>
      <c r="F50" s="58">
        <v>8</v>
      </c>
      <c r="G50" s="43">
        <v>24</v>
      </c>
      <c r="H50" s="44">
        <v>40.1</v>
      </c>
      <c r="I50" s="44" t="s">
        <v>38</v>
      </c>
      <c r="J50" s="43">
        <v>122</v>
      </c>
      <c r="K50" s="44">
        <v>20</v>
      </c>
      <c r="L50" s="44" t="s">
        <v>122</v>
      </c>
      <c r="M50" s="43" t="s">
        <v>117</v>
      </c>
      <c r="N50" s="45">
        <v>7</v>
      </c>
      <c r="O50" s="45">
        <v>3</v>
      </c>
      <c r="P50" s="45">
        <v>2</v>
      </c>
      <c r="Q50" s="45">
        <v>1</v>
      </c>
      <c r="R50" s="46">
        <v>4.0999999999999996</v>
      </c>
      <c r="S50" s="46">
        <v>4.2</v>
      </c>
      <c r="T50" s="46">
        <v>286</v>
      </c>
      <c r="U50" s="47">
        <v>3096</v>
      </c>
      <c r="V50" s="23">
        <v>24</v>
      </c>
      <c r="W50" s="38">
        <v>7</v>
      </c>
      <c r="X50" s="38">
        <v>17</v>
      </c>
      <c r="Y50" s="38">
        <v>0</v>
      </c>
      <c r="Z50" s="38">
        <v>0</v>
      </c>
      <c r="AA50" s="44">
        <v>110.1</v>
      </c>
      <c r="AB50" s="44">
        <f t="shared" ref="AB50" si="36">AA50/24</f>
        <v>4.5874999999999995</v>
      </c>
      <c r="AC50" s="52" t="s">
        <v>125</v>
      </c>
      <c r="AD50" s="40" t="s">
        <v>519</v>
      </c>
      <c r="AE50" s="40"/>
      <c r="AF50" s="41" t="s">
        <v>118</v>
      </c>
      <c r="AG50" s="40" t="s">
        <v>520</v>
      </c>
      <c r="AH50" s="38">
        <v>3</v>
      </c>
      <c r="AI50" s="38">
        <v>4.5</v>
      </c>
      <c r="AJ50" s="38">
        <v>0</v>
      </c>
      <c r="AK50" s="38">
        <v>0</v>
      </c>
      <c r="AL50" s="24">
        <f t="shared" si="1"/>
        <v>7.5</v>
      </c>
      <c r="AM50" s="12"/>
      <c r="AN50" s="12"/>
      <c r="AO50" s="12"/>
      <c r="AP50" s="12"/>
      <c r="AQ50" s="55">
        <f t="shared" si="10"/>
        <v>353.5</v>
      </c>
      <c r="AR50" s="38"/>
      <c r="AS50" s="38">
        <v>271</v>
      </c>
      <c r="AT50" s="26"/>
      <c r="AU50" s="49"/>
      <c r="AV50" s="136"/>
      <c r="AW50" s="137"/>
    </row>
    <row r="51" spans="1:49" ht="19.399999999999999" customHeight="1">
      <c r="A51" s="18" t="s">
        <v>134</v>
      </c>
      <c r="B51" s="18" t="s">
        <v>512</v>
      </c>
      <c r="C51" s="19" t="s">
        <v>127</v>
      </c>
      <c r="D51" s="19" t="s">
        <v>175</v>
      </c>
      <c r="E51" s="19" t="s">
        <v>523</v>
      </c>
      <c r="F51" s="58">
        <v>8</v>
      </c>
      <c r="G51" s="43">
        <v>24</v>
      </c>
      <c r="H51" s="44">
        <v>41.6</v>
      </c>
      <c r="I51" s="44" t="s">
        <v>38</v>
      </c>
      <c r="J51" s="43">
        <v>122</v>
      </c>
      <c r="K51" s="44">
        <v>15.3</v>
      </c>
      <c r="L51" s="44" t="s">
        <v>122</v>
      </c>
      <c r="M51" s="43" t="s">
        <v>524</v>
      </c>
      <c r="N51" s="45">
        <v>14</v>
      </c>
      <c r="O51" s="45">
        <v>2</v>
      </c>
      <c r="P51" s="45">
        <v>2</v>
      </c>
      <c r="Q51" s="45">
        <v>1</v>
      </c>
      <c r="R51" s="46">
        <v>4.0999999999999996</v>
      </c>
      <c r="S51" s="46">
        <v>4.2</v>
      </c>
      <c r="T51" s="46">
        <v>286</v>
      </c>
      <c r="U51" s="47">
        <v>3096</v>
      </c>
      <c r="V51" s="23">
        <v>24</v>
      </c>
      <c r="W51" s="38">
        <v>0</v>
      </c>
      <c r="X51" s="38">
        <v>24</v>
      </c>
      <c r="Y51" s="38">
        <v>0</v>
      </c>
      <c r="Z51" s="38">
        <v>0</v>
      </c>
      <c r="AA51" s="44">
        <v>90.4</v>
      </c>
      <c r="AB51" s="44">
        <f t="shared" ref="AB51" si="37">AA51/24</f>
        <v>3.7666666666666671</v>
      </c>
      <c r="AC51" s="52" t="s">
        <v>125</v>
      </c>
      <c r="AD51" s="40" t="s">
        <v>522</v>
      </c>
      <c r="AE51" s="40"/>
      <c r="AF51" s="41" t="s">
        <v>138</v>
      </c>
      <c r="AG51" s="40" t="s">
        <v>161</v>
      </c>
      <c r="AH51" s="38">
        <v>0</v>
      </c>
      <c r="AI51" s="38">
        <v>4</v>
      </c>
      <c r="AJ51" s="38">
        <v>0</v>
      </c>
      <c r="AK51" s="38">
        <v>0</v>
      </c>
      <c r="AL51" s="24">
        <f t="shared" si="1"/>
        <v>4</v>
      </c>
      <c r="AM51" s="12"/>
      <c r="AN51" s="12"/>
      <c r="AO51" s="12"/>
      <c r="AP51" s="12"/>
      <c r="AQ51" s="55">
        <f t="shared" si="10"/>
        <v>349.5</v>
      </c>
      <c r="AR51" s="38"/>
      <c r="AS51" s="38">
        <v>266</v>
      </c>
      <c r="AT51" s="26"/>
      <c r="AU51" s="49"/>
      <c r="AV51" s="143"/>
      <c r="AW51" s="144"/>
    </row>
    <row r="52" spans="1:49" ht="19.399999999999999" customHeight="1">
      <c r="A52" s="18" t="s">
        <v>134</v>
      </c>
      <c r="B52" s="18" t="s">
        <v>512</v>
      </c>
      <c r="C52" s="19" t="s">
        <v>127</v>
      </c>
      <c r="D52" s="19" t="s">
        <v>175</v>
      </c>
      <c r="E52" s="19" t="s">
        <v>526</v>
      </c>
      <c r="F52" s="58">
        <v>8</v>
      </c>
      <c r="G52" s="43">
        <v>24</v>
      </c>
      <c r="H52" s="44">
        <v>33.9</v>
      </c>
      <c r="I52" s="44" t="s">
        <v>38</v>
      </c>
      <c r="J52" s="43">
        <v>122</v>
      </c>
      <c r="K52" s="44">
        <v>11.6</v>
      </c>
      <c r="L52" s="44" t="s">
        <v>122</v>
      </c>
      <c r="M52" s="43" t="s">
        <v>115</v>
      </c>
      <c r="N52" s="45">
        <v>12</v>
      </c>
      <c r="O52" s="45">
        <v>2</v>
      </c>
      <c r="P52" s="45">
        <v>2</v>
      </c>
      <c r="Q52" s="45">
        <v>1</v>
      </c>
      <c r="R52" s="46">
        <v>4.0999999999999996</v>
      </c>
      <c r="S52" s="46">
        <v>4.2</v>
      </c>
      <c r="T52" s="46">
        <v>286</v>
      </c>
      <c r="U52" s="47">
        <v>3096</v>
      </c>
      <c r="V52" s="23">
        <v>24</v>
      </c>
      <c r="W52" s="38">
        <v>0</v>
      </c>
      <c r="X52" s="38">
        <v>24</v>
      </c>
      <c r="Y52" s="38">
        <v>0</v>
      </c>
      <c r="Z52" s="38">
        <v>0</v>
      </c>
      <c r="AA52" s="44">
        <v>88.5</v>
      </c>
      <c r="AB52" s="44">
        <f t="shared" ref="AB52" si="38">AA52/24</f>
        <v>3.6875</v>
      </c>
      <c r="AC52" s="52" t="s">
        <v>125</v>
      </c>
      <c r="AD52" s="42" t="s">
        <v>531</v>
      </c>
      <c r="AE52" s="40"/>
      <c r="AF52" s="41" t="s">
        <v>525</v>
      </c>
      <c r="AG52" s="40" t="s">
        <v>276</v>
      </c>
      <c r="AH52" s="38">
        <v>0</v>
      </c>
      <c r="AI52" s="38">
        <v>4.5999999999999996</v>
      </c>
      <c r="AJ52" s="38">
        <v>0</v>
      </c>
      <c r="AK52" s="38">
        <v>0</v>
      </c>
      <c r="AL52" s="24">
        <f t="shared" si="1"/>
        <v>4.5999999999999996</v>
      </c>
      <c r="AM52" s="12"/>
      <c r="AN52" s="12"/>
      <c r="AO52" s="12"/>
      <c r="AP52" s="12"/>
      <c r="AQ52" s="55">
        <f t="shared" si="10"/>
        <v>344.9</v>
      </c>
      <c r="AR52" s="38"/>
      <c r="AS52" s="38">
        <v>256</v>
      </c>
      <c r="AT52" s="26"/>
      <c r="AU52" s="49"/>
      <c r="AV52" s="142"/>
      <c r="AW52" s="137"/>
    </row>
    <row r="53" spans="1:49" ht="19.399999999999999" customHeight="1">
      <c r="A53" s="18" t="s">
        <v>134</v>
      </c>
      <c r="B53" s="18" t="s">
        <v>512</v>
      </c>
      <c r="C53" s="19" t="s">
        <v>127</v>
      </c>
      <c r="D53" s="19" t="s">
        <v>175</v>
      </c>
      <c r="E53" s="19" t="s">
        <v>529</v>
      </c>
      <c r="F53" s="58">
        <v>8</v>
      </c>
      <c r="G53" s="43">
        <v>24</v>
      </c>
      <c r="H53" s="44">
        <v>32.200000000000003</v>
      </c>
      <c r="I53" s="44" t="s">
        <v>38</v>
      </c>
      <c r="J53" s="43">
        <v>122</v>
      </c>
      <c r="K53" s="44">
        <v>13.5</v>
      </c>
      <c r="L53" s="44" t="s">
        <v>122</v>
      </c>
      <c r="M53" s="43" t="s">
        <v>115</v>
      </c>
      <c r="N53" s="45">
        <v>12</v>
      </c>
      <c r="O53" s="45">
        <v>2</v>
      </c>
      <c r="P53" s="45">
        <v>2</v>
      </c>
      <c r="Q53" s="45">
        <v>1</v>
      </c>
      <c r="R53" s="46">
        <v>4.0999999999999996</v>
      </c>
      <c r="S53" s="46">
        <v>4.2</v>
      </c>
      <c r="T53" s="46">
        <v>286</v>
      </c>
      <c r="U53" s="47">
        <v>3096</v>
      </c>
      <c r="V53" s="23">
        <v>24</v>
      </c>
      <c r="W53" s="38">
        <v>0</v>
      </c>
      <c r="X53" s="38">
        <v>24</v>
      </c>
      <c r="Y53" s="38">
        <v>0</v>
      </c>
      <c r="Z53" s="38">
        <v>0</v>
      </c>
      <c r="AA53" s="44">
        <v>92.5</v>
      </c>
      <c r="AB53" s="44">
        <f t="shared" ref="AB53:AB54" si="39">AA53/24</f>
        <v>3.8541666666666665</v>
      </c>
      <c r="AC53" s="52" t="s">
        <v>125</v>
      </c>
      <c r="AD53" s="42" t="s">
        <v>530</v>
      </c>
      <c r="AE53" s="40"/>
      <c r="AF53" s="41" t="s">
        <v>527</v>
      </c>
      <c r="AG53" s="40" t="s">
        <v>528</v>
      </c>
      <c r="AH53" s="38">
        <v>0</v>
      </c>
      <c r="AI53" s="38">
        <v>4</v>
      </c>
      <c r="AJ53" s="38">
        <v>0</v>
      </c>
      <c r="AK53" s="38">
        <v>0</v>
      </c>
      <c r="AL53" s="24">
        <f t="shared" si="1"/>
        <v>4</v>
      </c>
      <c r="AM53" s="12"/>
      <c r="AN53" s="12"/>
      <c r="AO53" s="12"/>
      <c r="AP53" s="12"/>
      <c r="AQ53" s="55">
        <f t="shared" si="10"/>
        <v>340.9</v>
      </c>
      <c r="AR53" s="38"/>
      <c r="AS53" s="38">
        <v>251</v>
      </c>
      <c r="AT53" s="26"/>
      <c r="AU53" s="49"/>
      <c r="AV53" s="142"/>
      <c r="AW53" s="137"/>
    </row>
    <row r="54" spans="1:49" ht="19.399999999999999" customHeight="1">
      <c r="A54" s="18" t="s">
        <v>134</v>
      </c>
      <c r="B54" s="18" t="s">
        <v>512</v>
      </c>
      <c r="C54" s="19" t="s">
        <v>127</v>
      </c>
      <c r="D54" s="19" t="s">
        <v>175</v>
      </c>
      <c r="E54" s="19" t="s">
        <v>535</v>
      </c>
      <c r="F54" s="58">
        <v>8</v>
      </c>
      <c r="G54" s="43">
        <v>22</v>
      </c>
      <c r="H54" s="44">
        <v>54.6</v>
      </c>
      <c r="I54" s="44" t="s">
        <v>38</v>
      </c>
      <c r="J54" s="43">
        <v>121</v>
      </c>
      <c r="K54" s="44">
        <v>18.100000000000001</v>
      </c>
      <c r="L54" s="44" t="s">
        <v>122</v>
      </c>
      <c r="M54" s="43" t="s">
        <v>115</v>
      </c>
      <c r="N54" s="45">
        <v>12</v>
      </c>
      <c r="O54" s="45">
        <v>2</v>
      </c>
      <c r="P54" s="45">
        <v>2</v>
      </c>
      <c r="Q54" s="45">
        <v>1</v>
      </c>
      <c r="R54" s="46">
        <v>4.0999999999999996</v>
      </c>
      <c r="S54" s="46">
        <v>4.2</v>
      </c>
      <c r="T54" s="46">
        <v>286</v>
      </c>
      <c r="U54" s="47">
        <v>3096</v>
      </c>
      <c r="V54" s="23">
        <v>24</v>
      </c>
      <c r="W54" s="38">
        <v>0</v>
      </c>
      <c r="X54" s="38">
        <v>24</v>
      </c>
      <c r="Y54" s="38">
        <v>0</v>
      </c>
      <c r="Z54" s="38">
        <v>0</v>
      </c>
      <c r="AA54" s="44">
        <v>122.3</v>
      </c>
      <c r="AB54" s="44">
        <f t="shared" si="39"/>
        <v>5.0958333333333332</v>
      </c>
      <c r="AC54" s="52" t="s">
        <v>126</v>
      </c>
      <c r="AD54" s="40" t="s">
        <v>532</v>
      </c>
      <c r="AE54" s="40"/>
      <c r="AF54" s="41" t="s">
        <v>533</v>
      </c>
      <c r="AG54" s="40" t="s">
        <v>534</v>
      </c>
      <c r="AH54" s="38">
        <v>0</v>
      </c>
      <c r="AI54" s="38">
        <v>5.2</v>
      </c>
      <c r="AJ54" s="38">
        <v>0</v>
      </c>
      <c r="AK54" s="38">
        <v>0</v>
      </c>
      <c r="AL54" s="24">
        <f t="shared" si="1"/>
        <v>5.2</v>
      </c>
      <c r="AM54" s="12"/>
      <c r="AN54" s="12"/>
      <c r="AO54" s="12"/>
      <c r="AP54" s="12"/>
      <c r="AQ54" s="55">
        <f t="shared" si="10"/>
        <v>335.7</v>
      </c>
      <c r="AR54" s="38"/>
      <c r="AS54" s="38">
        <v>243</v>
      </c>
      <c r="AT54" s="26"/>
      <c r="AU54" s="49"/>
      <c r="AV54" s="136"/>
      <c r="AW54" s="137"/>
    </row>
    <row r="55" spans="1:49" ht="19.399999999999999" customHeight="1">
      <c r="A55" s="18" t="s">
        <v>134</v>
      </c>
      <c r="B55" s="18" t="s">
        <v>512</v>
      </c>
      <c r="C55" s="19" t="s">
        <v>127</v>
      </c>
      <c r="D55" s="19" t="s">
        <v>175</v>
      </c>
      <c r="E55" s="19" t="s">
        <v>538</v>
      </c>
      <c r="F55" s="58">
        <v>8</v>
      </c>
      <c r="G55" s="43">
        <v>22</v>
      </c>
      <c r="H55" s="44">
        <v>54.7</v>
      </c>
      <c r="I55" s="44" t="s">
        <v>38</v>
      </c>
      <c r="J55" s="43">
        <v>121</v>
      </c>
      <c r="K55" s="44">
        <v>20.100000000000001</v>
      </c>
      <c r="L55" s="44" t="s">
        <v>122</v>
      </c>
      <c r="M55" s="43" t="s">
        <v>115</v>
      </c>
      <c r="N55" s="45">
        <v>12</v>
      </c>
      <c r="O55" s="45">
        <v>2</v>
      </c>
      <c r="P55" s="45">
        <v>2</v>
      </c>
      <c r="Q55" s="45">
        <v>1</v>
      </c>
      <c r="R55" s="46">
        <v>4.0999999999999996</v>
      </c>
      <c r="S55" s="46">
        <v>4.2</v>
      </c>
      <c r="T55" s="46">
        <v>286</v>
      </c>
      <c r="U55" s="47">
        <v>3096</v>
      </c>
      <c r="V55" s="23">
        <v>24</v>
      </c>
      <c r="W55" s="38">
        <v>0</v>
      </c>
      <c r="X55" s="38">
        <v>24</v>
      </c>
      <c r="Y55" s="38">
        <v>0</v>
      </c>
      <c r="Z55" s="38">
        <v>0</v>
      </c>
      <c r="AA55" s="44">
        <v>91.9</v>
      </c>
      <c r="AB55" s="44">
        <f t="shared" ref="AB55" si="40">AA55/24</f>
        <v>3.8291666666666671</v>
      </c>
      <c r="AC55" s="52" t="s">
        <v>126</v>
      </c>
      <c r="AD55" s="40" t="s">
        <v>537</v>
      </c>
      <c r="AE55" s="40"/>
      <c r="AF55" s="41" t="s">
        <v>536</v>
      </c>
      <c r="AG55" s="40" t="s">
        <v>534</v>
      </c>
      <c r="AH55" s="38">
        <v>0</v>
      </c>
      <c r="AI55" s="38">
        <v>4.3</v>
      </c>
      <c r="AJ55" s="38">
        <v>0</v>
      </c>
      <c r="AK55" s="38">
        <v>0</v>
      </c>
      <c r="AL55" s="24">
        <f t="shared" si="1"/>
        <v>4.3</v>
      </c>
      <c r="AM55" s="12"/>
      <c r="AN55" s="12"/>
      <c r="AO55" s="12"/>
      <c r="AP55" s="12"/>
      <c r="AQ55" s="55">
        <f t="shared" si="10"/>
        <v>331.4</v>
      </c>
      <c r="AR55" s="38"/>
      <c r="AS55" s="38">
        <v>238</v>
      </c>
      <c r="AT55" s="26"/>
      <c r="AU55" s="49"/>
      <c r="AV55" s="136"/>
      <c r="AW55" s="137"/>
    </row>
    <row r="56" spans="1:49" ht="19.399999999999999" customHeight="1">
      <c r="A56" s="18" t="s">
        <v>134</v>
      </c>
      <c r="B56" s="18" t="s">
        <v>512</v>
      </c>
      <c r="C56" s="19" t="s">
        <v>127</v>
      </c>
      <c r="D56" s="19" t="s">
        <v>175</v>
      </c>
      <c r="E56" s="19" t="s">
        <v>540</v>
      </c>
      <c r="F56" s="58">
        <v>8</v>
      </c>
      <c r="G56" s="43">
        <v>22</v>
      </c>
      <c r="H56" s="44">
        <v>26.2</v>
      </c>
      <c r="I56" s="44" t="s">
        <v>38</v>
      </c>
      <c r="J56" s="43">
        <v>122</v>
      </c>
      <c r="K56" s="44">
        <v>4.2</v>
      </c>
      <c r="L56" s="44" t="s">
        <v>122</v>
      </c>
      <c r="M56" s="43" t="s">
        <v>115</v>
      </c>
      <c r="N56" s="45">
        <v>12</v>
      </c>
      <c r="O56" s="45">
        <v>2</v>
      </c>
      <c r="P56" s="45">
        <v>2</v>
      </c>
      <c r="Q56" s="45">
        <v>1</v>
      </c>
      <c r="R56" s="46">
        <v>4.0999999999999996</v>
      </c>
      <c r="S56" s="46">
        <v>4.2</v>
      </c>
      <c r="T56" s="46">
        <v>286</v>
      </c>
      <c r="U56" s="47">
        <v>3096</v>
      </c>
      <c r="V56" s="23">
        <v>24</v>
      </c>
      <c r="W56" s="38">
        <v>0</v>
      </c>
      <c r="X56" s="38">
        <v>24</v>
      </c>
      <c r="Y56" s="38">
        <v>0</v>
      </c>
      <c r="Z56" s="38">
        <v>0</v>
      </c>
      <c r="AA56" s="44">
        <v>99.5</v>
      </c>
      <c r="AB56" s="44">
        <f t="shared" ref="AB56" si="41">AA56/24</f>
        <v>4.145833333333333</v>
      </c>
      <c r="AC56" s="52" t="s">
        <v>126</v>
      </c>
      <c r="AD56" s="40" t="s">
        <v>539</v>
      </c>
      <c r="AE56" s="40"/>
      <c r="AF56" s="41" t="s">
        <v>140</v>
      </c>
      <c r="AG56" s="40" t="s">
        <v>154</v>
      </c>
      <c r="AH56" s="38">
        <v>0</v>
      </c>
      <c r="AI56" s="38">
        <v>4.4000000000000004</v>
      </c>
      <c r="AJ56" s="38">
        <v>0</v>
      </c>
      <c r="AK56" s="38">
        <v>0</v>
      </c>
      <c r="AL56" s="24">
        <f t="shared" si="1"/>
        <v>4.4000000000000004</v>
      </c>
      <c r="AM56" s="12"/>
      <c r="AN56" s="12"/>
      <c r="AO56" s="12"/>
      <c r="AP56" s="12"/>
      <c r="AQ56" s="55">
        <f t="shared" si="10"/>
        <v>327</v>
      </c>
      <c r="AR56" s="38"/>
      <c r="AS56" s="38">
        <v>232</v>
      </c>
      <c r="AT56" s="26"/>
      <c r="AU56" s="49"/>
      <c r="AV56" s="136"/>
      <c r="AW56" s="137"/>
    </row>
    <row r="57" spans="1:49" ht="19.399999999999999" customHeight="1">
      <c r="A57" s="18" t="s">
        <v>134</v>
      </c>
      <c r="B57" s="18" t="s">
        <v>512</v>
      </c>
      <c r="C57" s="19" t="s">
        <v>127</v>
      </c>
      <c r="D57" s="19" t="s">
        <v>175</v>
      </c>
      <c r="E57" s="19" t="s">
        <v>543</v>
      </c>
      <c r="F57" s="58">
        <v>8</v>
      </c>
      <c r="G57" s="43">
        <v>23</v>
      </c>
      <c r="H57" s="44">
        <v>21.7</v>
      </c>
      <c r="I57" s="44" t="s">
        <v>38</v>
      </c>
      <c r="J57" s="43">
        <v>121</v>
      </c>
      <c r="K57" s="44">
        <v>42.5</v>
      </c>
      <c r="L57" s="44" t="s">
        <v>122</v>
      </c>
      <c r="M57" s="43" t="s">
        <v>115</v>
      </c>
      <c r="N57" s="45">
        <v>12</v>
      </c>
      <c r="O57" s="45">
        <v>2</v>
      </c>
      <c r="P57" s="45">
        <v>2</v>
      </c>
      <c r="Q57" s="45">
        <v>1</v>
      </c>
      <c r="R57" s="46">
        <v>4.0999999999999996</v>
      </c>
      <c r="S57" s="46">
        <v>4.2</v>
      </c>
      <c r="T57" s="46">
        <v>286</v>
      </c>
      <c r="U57" s="47">
        <v>3096</v>
      </c>
      <c r="V57" s="23">
        <v>24</v>
      </c>
      <c r="W57" s="38">
        <v>0</v>
      </c>
      <c r="X57" s="38">
        <v>24</v>
      </c>
      <c r="Y57" s="38">
        <v>0</v>
      </c>
      <c r="Z57" s="38">
        <v>0</v>
      </c>
      <c r="AA57" s="44">
        <v>105.2</v>
      </c>
      <c r="AB57" s="44">
        <f t="shared" ref="AB57" si="42">AA57/24</f>
        <v>4.3833333333333337</v>
      </c>
      <c r="AC57" s="52" t="s">
        <v>126</v>
      </c>
      <c r="AD57" s="40" t="s">
        <v>541</v>
      </c>
      <c r="AE57" s="40"/>
      <c r="AF57" s="41" t="s">
        <v>542</v>
      </c>
      <c r="AG57" s="40" t="s">
        <v>517</v>
      </c>
      <c r="AH57" s="38">
        <v>0</v>
      </c>
      <c r="AI57" s="38">
        <v>4.7</v>
      </c>
      <c r="AJ57" s="38">
        <v>0</v>
      </c>
      <c r="AK57" s="38">
        <v>0</v>
      </c>
      <c r="AL57" s="24">
        <f t="shared" si="1"/>
        <v>4.7</v>
      </c>
      <c r="AM57" s="12"/>
      <c r="AN57" s="12"/>
      <c r="AO57" s="12"/>
      <c r="AP57" s="12"/>
      <c r="AQ57" s="55">
        <f t="shared" si="10"/>
        <v>322.3</v>
      </c>
      <c r="AR57" s="38"/>
      <c r="AS57" s="38">
        <v>223</v>
      </c>
      <c r="AT57" s="26"/>
      <c r="AU57" s="49"/>
      <c r="AV57" s="136"/>
      <c r="AW57" s="137"/>
    </row>
    <row r="58" spans="1:49" ht="19.399999999999999" customHeight="1">
      <c r="A58" s="18" t="s">
        <v>134</v>
      </c>
      <c r="B58" s="18" t="s">
        <v>512</v>
      </c>
      <c r="C58" s="19" t="s">
        <v>127</v>
      </c>
      <c r="D58" s="19" t="s">
        <v>175</v>
      </c>
      <c r="E58" s="19" t="s">
        <v>546</v>
      </c>
      <c r="F58" s="58">
        <v>8</v>
      </c>
      <c r="G58" s="43">
        <v>23</v>
      </c>
      <c r="H58" s="44">
        <v>39.299999999999997</v>
      </c>
      <c r="I58" s="44" t="s">
        <v>38</v>
      </c>
      <c r="J58" s="43">
        <v>121</v>
      </c>
      <c r="K58" s="44">
        <v>37.700000000000003</v>
      </c>
      <c r="L58" s="44" t="s">
        <v>122</v>
      </c>
      <c r="M58" s="43" t="s">
        <v>115</v>
      </c>
      <c r="N58" s="45">
        <v>12</v>
      </c>
      <c r="O58" s="45">
        <v>3</v>
      </c>
      <c r="P58" s="45">
        <v>2</v>
      </c>
      <c r="Q58" s="45">
        <v>1</v>
      </c>
      <c r="R58" s="46">
        <v>4.0999999999999996</v>
      </c>
      <c r="S58" s="46">
        <v>4.2</v>
      </c>
      <c r="T58" s="46">
        <v>286</v>
      </c>
      <c r="U58" s="47">
        <v>3096</v>
      </c>
      <c r="V58" s="23">
        <v>24</v>
      </c>
      <c r="W58" s="38">
        <v>0</v>
      </c>
      <c r="X58" s="38">
        <v>24</v>
      </c>
      <c r="Y58" s="38">
        <v>0</v>
      </c>
      <c r="Z58" s="38">
        <v>0</v>
      </c>
      <c r="AA58" s="44">
        <v>112.8</v>
      </c>
      <c r="AB58" s="44">
        <f t="shared" ref="AB58:AB60" si="43">AA58/24</f>
        <v>4.7</v>
      </c>
      <c r="AC58" s="52" t="s">
        <v>126</v>
      </c>
      <c r="AD58" s="40" t="s">
        <v>544</v>
      </c>
      <c r="AE58" s="40"/>
      <c r="AF58" s="41" t="s">
        <v>545</v>
      </c>
      <c r="AG58" s="40" t="s">
        <v>151</v>
      </c>
      <c r="AH58" s="38">
        <v>0</v>
      </c>
      <c r="AI58" s="38">
        <v>4.7</v>
      </c>
      <c r="AJ58" s="38">
        <v>0</v>
      </c>
      <c r="AK58" s="38">
        <v>0</v>
      </c>
      <c r="AL58" s="24">
        <f t="shared" si="1"/>
        <v>4.7</v>
      </c>
      <c r="AM58" s="12"/>
      <c r="AN58" s="12"/>
      <c r="AO58" s="12"/>
      <c r="AP58" s="12"/>
      <c r="AQ58" s="55">
        <f t="shared" si="10"/>
        <v>317.60000000000002</v>
      </c>
      <c r="AR58" s="38"/>
      <c r="AS58" s="38">
        <v>220</v>
      </c>
      <c r="AT58" s="26"/>
      <c r="AU58" s="49"/>
      <c r="AV58" s="136"/>
      <c r="AW58" s="137"/>
    </row>
    <row r="59" spans="1:49" ht="19.399999999999999" customHeight="1">
      <c r="A59" s="18" t="s">
        <v>134</v>
      </c>
      <c r="B59" s="18" t="s">
        <v>512</v>
      </c>
      <c r="C59" s="19" t="s">
        <v>127</v>
      </c>
      <c r="D59" s="19" t="s">
        <v>175</v>
      </c>
      <c r="E59" s="19" t="s">
        <v>548</v>
      </c>
      <c r="F59" s="58">
        <v>8</v>
      </c>
      <c r="G59" s="43">
        <v>23</v>
      </c>
      <c r="H59" s="44">
        <v>29.2</v>
      </c>
      <c r="I59" s="44" t="s">
        <v>38</v>
      </c>
      <c r="J59" s="43">
        <v>122</v>
      </c>
      <c r="K59" s="44">
        <v>3.4</v>
      </c>
      <c r="L59" s="44" t="s">
        <v>122</v>
      </c>
      <c r="M59" s="43" t="s">
        <v>115</v>
      </c>
      <c r="N59" s="45">
        <v>12</v>
      </c>
      <c r="O59" s="45">
        <v>4</v>
      </c>
      <c r="P59" s="45">
        <v>3</v>
      </c>
      <c r="Q59" s="45">
        <v>1</v>
      </c>
      <c r="R59" s="46">
        <v>4.0999999999999996</v>
      </c>
      <c r="S59" s="46">
        <v>4.2</v>
      </c>
      <c r="T59" s="46">
        <v>286</v>
      </c>
      <c r="U59" s="47">
        <v>3096</v>
      </c>
      <c r="V59" s="23">
        <v>24</v>
      </c>
      <c r="W59" s="38">
        <v>0</v>
      </c>
      <c r="X59" s="38">
        <v>24</v>
      </c>
      <c r="Y59" s="38">
        <v>0</v>
      </c>
      <c r="Z59" s="38">
        <v>0</v>
      </c>
      <c r="AA59" s="44">
        <v>109.4</v>
      </c>
      <c r="AB59" s="44">
        <f t="shared" si="43"/>
        <v>4.5583333333333336</v>
      </c>
      <c r="AC59" s="52" t="s">
        <v>126</v>
      </c>
      <c r="AD59" s="40" t="s">
        <v>547</v>
      </c>
      <c r="AE59" s="40"/>
      <c r="AF59" s="41" t="s">
        <v>157</v>
      </c>
      <c r="AG59" s="40" t="s">
        <v>120</v>
      </c>
      <c r="AH59" s="38">
        <v>0</v>
      </c>
      <c r="AI59" s="38">
        <v>4.9000000000000004</v>
      </c>
      <c r="AJ59" s="38">
        <v>0</v>
      </c>
      <c r="AK59" s="38">
        <v>0</v>
      </c>
      <c r="AL59" s="24">
        <f t="shared" si="1"/>
        <v>4.9000000000000004</v>
      </c>
      <c r="AM59" s="12"/>
      <c r="AN59" s="12"/>
      <c r="AO59" s="12"/>
      <c r="AP59" s="12"/>
      <c r="AQ59" s="55">
        <f t="shared" si="10"/>
        <v>312.70000000000005</v>
      </c>
      <c r="AR59" s="38"/>
      <c r="AS59" s="38">
        <v>214</v>
      </c>
      <c r="AT59" s="26"/>
      <c r="AU59" s="49"/>
      <c r="AV59" s="136"/>
      <c r="AW59" s="137"/>
    </row>
    <row r="60" spans="1:49" ht="19.399999999999999" customHeight="1">
      <c r="A60" s="18" t="s">
        <v>134</v>
      </c>
      <c r="B60" s="18" t="s">
        <v>512</v>
      </c>
      <c r="C60" s="19" t="s">
        <v>127</v>
      </c>
      <c r="D60" s="19" t="s">
        <v>127</v>
      </c>
      <c r="E60" s="19" t="s">
        <v>551</v>
      </c>
      <c r="F60" s="58">
        <v>8</v>
      </c>
      <c r="G60" s="43">
        <v>23</v>
      </c>
      <c r="H60" s="44">
        <v>53.9</v>
      </c>
      <c r="I60" s="44" t="s">
        <v>38</v>
      </c>
      <c r="J60" s="43">
        <v>121</v>
      </c>
      <c r="K60" s="44">
        <v>43.1</v>
      </c>
      <c r="L60" s="44" t="s">
        <v>122</v>
      </c>
      <c r="M60" s="43" t="s">
        <v>115</v>
      </c>
      <c r="N60" s="45">
        <v>12</v>
      </c>
      <c r="O60" s="45">
        <v>3</v>
      </c>
      <c r="P60" s="45">
        <v>2</v>
      </c>
      <c r="Q60" s="45">
        <v>1</v>
      </c>
      <c r="R60" s="46">
        <v>4.0999999999999996</v>
      </c>
      <c r="S60" s="46">
        <v>4.2</v>
      </c>
      <c r="T60" s="46">
        <v>286</v>
      </c>
      <c r="U60" s="47">
        <v>3096</v>
      </c>
      <c r="V60" s="23">
        <v>24</v>
      </c>
      <c r="W60" s="38">
        <v>0</v>
      </c>
      <c r="X60" s="38">
        <v>24</v>
      </c>
      <c r="Y60" s="38">
        <v>0</v>
      </c>
      <c r="Z60" s="38">
        <v>0</v>
      </c>
      <c r="AA60" s="44">
        <v>116.3</v>
      </c>
      <c r="AB60" s="44">
        <f t="shared" si="43"/>
        <v>4.8458333333333332</v>
      </c>
      <c r="AC60" s="52" t="s">
        <v>126</v>
      </c>
      <c r="AD60" s="40" t="s">
        <v>549</v>
      </c>
      <c r="AE60" s="40"/>
      <c r="AF60" s="41" t="s">
        <v>550</v>
      </c>
      <c r="AG60" s="40" t="s">
        <v>151</v>
      </c>
      <c r="AH60" s="38">
        <v>0</v>
      </c>
      <c r="AI60" s="38">
        <v>4.7</v>
      </c>
      <c r="AJ60" s="38">
        <v>0</v>
      </c>
      <c r="AK60" s="38">
        <v>0</v>
      </c>
      <c r="AL60" s="24">
        <f t="shared" si="1"/>
        <v>4.7</v>
      </c>
      <c r="AM60" s="12"/>
      <c r="AN60" s="12"/>
      <c r="AO60" s="12"/>
      <c r="AP60" s="12"/>
      <c r="AQ60" s="55">
        <f t="shared" si="10"/>
        <v>308.00000000000006</v>
      </c>
      <c r="AR60" s="38"/>
      <c r="AS60" s="38">
        <v>205</v>
      </c>
      <c r="AT60" s="26"/>
      <c r="AU60" s="49"/>
      <c r="AV60" s="136"/>
      <c r="AW60" s="137"/>
    </row>
    <row r="61" spans="1:49" ht="19.399999999999999" customHeight="1">
      <c r="A61" s="18" t="s">
        <v>134</v>
      </c>
      <c r="B61" s="18" t="s">
        <v>512</v>
      </c>
      <c r="C61" s="19" t="s">
        <v>127</v>
      </c>
      <c r="D61" s="19" t="s">
        <v>127</v>
      </c>
      <c r="E61" s="19" t="s">
        <v>555</v>
      </c>
      <c r="F61" s="58">
        <v>8</v>
      </c>
      <c r="G61" s="43">
        <v>22</v>
      </c>
      <c r="H61" s="44">
        <v>11.6</v>
      </c>
      <c r="I61" s="44" t="s">
        <v>38</v>
      </c>
      <c r="J61" s="43">
        <v>120</v>
      </c>
      <c r="K61" s="44">
        <v>26.2</v>
      </c>
      <c r="L61" s="44" t="s">
        <v>122</v>
      </c>
      <c r="M61" s="43" t="s">
        <v>115</v>
      </c>
      <c r="N61" s="45">
        <v>12</v>
      </c>
      <c r="O61" s="45">
        <v>3</v>
      </c>
      <c r="P61" s="45">
        <v>2</v>
      </c>
      <c r="Q61" s="45">
        <v>1</v>
      </c>
      <c r="R61" s="46">
        <v>4.0999999999999996</v>
      </c>
      <c r="S61" s="46">
        <v>4.2</v>
      </c>
      <c r="T61" s="46">
        <v>286</v>
      </c>
      <c r="U61" s="47">
        <v>3096</v>
      </c>
      <c r="V61" s="23">
        <v>24</v>
      </c>
      <c r="W61" s="38">
        <v>22</v>
      </c>
      <c r="X61" s="38">
        <v>2</v>
      </c>
      <c r="Y61" s="38">
        <v>0</v>
      </c>
      <c r="Z61" s="38">
        <v>0</v>
      </c>
      <c r="AA61" s="44">
        <v>169.8</v>
      </c>
      <c r="AB61" s="44">
        <f t="shared" ref="AB61" si="44">AA61/24</f>
        <v>7.0750000000000002</v>
      </c>
      <c r="AC61" s="52" t="s">
        <v>125</v>
      </c>
      <c r="AD61" s="40" t="s">
        <v>552</v>
      </c>
      <c r="AE61" s="40"/>
      <c r="AF61" s="41" t="s">
        <v>553</v>
      </c>
      <c r="AG61" s="40" t="s">
        <v>554</v>
      </c>
      <c r="AH61" s="38">
        <v>5</v>
      </c>
      <c r="AI61" s="38">
        <v>1.4</v>
      </c>
      <c r="AJ61" s="38">
        <v>0</v>
      </c>
      <c r="AK61" s="38">
        <v>0</v>
      </c>
      <c r="AL61" s="24">
        <f t="shared" si="1"/>
        <v>6.4</v>
      </c>
      <c r="AM61" s="12"/>
      <c r="AN61" s="12"/>
      <c r="AO61" s="12"/>
      <c r="AP61" s="12"/>
      <c r="AQ61" s="55">
        <f t="shared" si="10"/>
        <v>301.60000000000008</v>
      </c>
      <c r="AR61" s="38"/>
      <c r="AS61" s="38">
        <v>197</v>
      </c>
      <c r="AT61" s="26"/>
      <c r="AU61" s="49"/>
      <c r="AV61" s="136"/>
      <c r="AW61" s="137"/>
    </row>
    <row r="62" spans="1:49" ht="19.399999999999999" customHeight="1">
      <c r="A62" s="18" t="s">
        <v>134</v>
      </c>
      <c r="B62" s="18" t="s">
        <v>512</v>
      </c>
      <c r="C62" s="19" t="s">
        <v>127</v>
      </c>
      <c r="D62" s="19" t="s">
        <v>127</v>
      </c>
      <c r="E62" s="19" t="s">
        <v>556</v>
      </c>
      <c r="F62" s="58">
        <v>8</v>
      </c>
      <c r="G62" s="43">
        <v>22</v>
      </c>
      <c r="H62" s="44">
        <v>58.3</v>
      </c>
      <c r="I62" s="44" t="s">
        <v>38</v>
      </c>
      <c r="J62" s="43">
        <v>120</v>
      </c>
      <c r="K62" s="44">
        <v>10.4</v>
      </c>
      <c r="L62" s="44" t="s">
        <v>122</v>
      </c>
      <c r="M62" s="43" t="s">
        <v>123</v>
      </c>
      <c r="N62" s="45">
        <v>12</v>
      </c>
      <c r="O62" s="45">
        <v>7</v>
      </c>
      <c r="P62" s="45">
        <v>4</v>
      </c>
      <c r="Q62" s="45">
        <v>2</v>
      </c>
      <c r="R62" s="46">
        <v>4.0999999999999996</v>
      </c>
      <c r="S62" s="46">
        <v>4.2</v>
      </c>
      <c r="T62" s="46">
        <v>286</v>
      </c>
      <c r="U62" s="47">
        <v>3096</v>
      </c>
      <c r="V62" s="23">
        <v>24</v>
      </c>
      <c r="W62" s="38">
        <v>6</v>
      </c>
      <c r="X62" s="38">
        <v>1.4</v>
      </c>
      <c r="Y62" s="38">
        <v>16.600000000000001</v>
      </c>
      <c r="Z62" s="38">
        <v>0</v>
      </c>
      <c r="AA62" s="44">
        <v>52.9</v>
      </c>
      <c r="AB62" s="44">
        <f t="shared" ref="AB62" si="45">AA62/24</f>
        <v>2.2041666666666666</v>
      </c>
      <c r="AC62" s="52" t="s">
        <v>113</v>
      </c>
      <c r="AD62" s="40">
        <v>219</v>
      </c>
      <c r="AE62" s="40"/>
      <c r="AF62" s="41">
        <v>0</v>
      </c>
      <c r="AG62" s="40">
        <v>0</v>
      </c>
      <c r="AH62" s="38">
        <v>2.5</v>
      </c>
      <c r="AI62" s="38">
        <v>0.1</v>
      </c>
      <c r="AJ62" s="38">
        <v>1.4</v>
      </c>
      <c r="AK62" s="38">
        <v>0</v>
      </c>
      <c r="AL62" s="24">
        <f t="shared" si="1"/>
        <v>4</v>
      </c>
      <c r="AM62" s="12"/>
      <c r="AN62" s="12"/>
      <c r="AO62" s="12"/>
      <c r="AP62" s="12"/>
      <c r="AQ62" s="55">
        <f t="shared" si="10"/>
        <v>297.60000000000008</v>
      </c>
      <c r="AR62" s="38"/>
      <c r="AS62" s="38">
        <v>191</v>
      </c>
      <c r="AT62" s="26"/>
      <c r="AU62" s="49"/>
      <c r="AV62" s="136"/>
      <c r="AW62" s="137"/>
    </row>
    <row r="63" spans="1:49" ht="19.399999999999999" customHeight="1">
      <c r="A63" s="18" t="s">
        <v>134</v>
      </c>
      <c r="B63" s="18" t="s">
        <v>512</v>
      </c>
      <c r="C63" s="19" t="s">
        <v>127</v>
      </c>
      <c r="D63" s="19" t="s">
        <v>127</v>
      </c>
      <c r="E63" s="19" t="s">
        <v>557</v>
      </c>
      <c r="F63" s="58">
        <v>8</v>
      </c>
      <c r="G63" s="43">
        <v>22</v>
      </c>
      <c r="H63" s="44">
        <v>58.3</v>
      </c>
      <c r="I63" s="44" t="s">
        <v>38</v>
      </c>
      <c r="J63" s="43">
        <v>120</v>
      </c>
      <c r="K63" s="44">
        <v>10.4</v>
      </c>
      <c r="L63" s="44" t="s">
        <v>122</v>
      </c>
      <c r="M63" s="43" t="s">
        <v>115</v>
      </c>
      <c r="N63" s="45">
        <v>6</v>
      </c>
      <c r="O63" s="45">
        <v>3</v>
      </c>
      <c r="P63" s="45">
        <v>1</v>
      </c>
      <c r="Q63" s="45">
        <v>1</v>
      </c>
      <c r="R63" s="46">
        <v>4.0999999999999996</v>
      </c>
      <c r="S63" s="46">
        <v>4.2</v>
      </c>
      <c r="T63" s="46">
        <v>286</v>
      </c>
      <c r="U63" s="47">
        <v>3096</v>
      </c>
      <c r="V63" s="23">
        <v>24</v>
      </c>
      <c r="W63" s="38">
        <v>0</v>
      </c>
      <c r="X63" s="38">
        <v>0</v>
      </c>
      <c r="Y63" s="38">
        <v>24</v>
      </c>
      <c r="Z63" s="38">
        <v>0</v>
      </c>
      <c r="AA63" s="44">
        <v>0</v>
      </c>
      <c r="AB63" s="44">
        <f t="shared" ref="AB63" si="46">AA63/24</f>
        <v>0</v>
      </c>
      <c r="AC63" s="52" t="s">
        <v>113</v>
      </c>
      <c r="AD63" s="40">
        <v>249</v>
      </c>
      <c r="AE63" s="40"/>
      <c r="AF63" s="41">
        <v>0</v>
      </c>
      <c r="AG63" s="40">
        <v>0</v>
      </c>
      <c r="AH63" s="38">
        <v>0</v>
      </c>
      <c r="AI63" s="38">
        <v>0</v>
      </c>
      <c r="AJ63" s="38">
        <v>2.9</v>
      </c>
      <c r="AK63" s="38">
        <v>0</v>
      </c>
      <c r="AL63" s="24">
        <f t="shared" si="1"/>
        <v>2.9</v>
      </c>
      <c r="AM63" s="12"/>
      <c r="AN63" s="12"/>
      <c r="AO63" s="12"/>
      <c r="AP63" s="12"/>
      <c r="AQ63" s="55">
        <f t="shared" si="10"/>
        <v>294.7000000000001</v>
      </c>
      <c r="AR63" s="38"/>
      <c r="AS63" s="38">
        <v>185</v>
      </c>
      <c r="AT63" s="26"/>
      <c r="AU63" s="49"/>
      <c r="AV63" s="136"/>
      <c r="AW63" s="137"/>
    </row>
    <row r="64" spans="1:49" ht="19.399999999999999" customHeight="1">
      <c r="A64" s="18" t="s">
        <v>134</v>
      </c>
      <c r="B64" s="18" t="s">
        <v>512</v>
      </c>
      <c r="C64" s="19" t="s">
        <v>127</v>
      </c>
      <c r="D64" s="19" t="s">
        <v>127</v>
      </c>
      <c r="E64" s="19" t="s">
        <v>558</v>
      </c>
      <c r="F64" s="58">
        <v>8</v>
      </c>
      <c r="G64" s="43">
        <v>22</v>
      </c>
      <c r="H64" s="44">
        <v>58.3</v>
      </c>
      <c r="I64" s="44" t="s">
        <v>38</v>
      </c>
      <c r="J64" s="43">
        <v>120</v>
      </c>
      <c r="K64" s="44">
        <v>10.4</v>
      </c>
      <c r="L64" s="44" t="s">
        <v>122</v>
      </c>
      <c r="M64" s="43" t="s">
        <v>115</v>
      </c>
      <c r="N64" s="45">
        <v>6</v>
      </c>
      <c r="O64" s="45">
        <v>2</v>
      </c>
      <c r="P64" s="45">
        <v>1</v>
      </c>
      <c r="Q64" s="45">
        <v>1</v>
      </c>
      <c r="R64" s="46">
        <v>4.0999999999999996</v>
      </c>
      <c r="S64" s="46">
        <v>4.2</v>
      </c>
      <c r="T64" s="46">
        <v>286</v>
      </c>
      <c r="U64" s="47">
        <v>3096</v>
      </c>
      <c r="V64" s="23">
        <v>24</v>
      </c>
      <c r="W64" s="38">
        <v>0</v>
      </c>
      <c r="X64" s="38">
        <v>0</v>
      </c>
      <c r="Y64" s="38">
        <v>24</v>
      </c>
      <c r="Z64" s="38">
        <v>0</v>
      </c>
      <c r="AA64" s="44">
        <v>0</v>
      </c>
      <c r="AB64" s="44">
        <v>0</v>
      </c>
      <c r="AC64" s="52" t="s">
        <v>113</v>
      </c>
      <c r="AD64" s="40">
        <v>257</v>
      </c>
      <c r="AE64" s="40"/>
      <c r="AF64" s="41">
        <v>0</v>
      </c>
      <c r="AG64" s="41">
        <v>0</v>
      </c>
      <c r="AH64" s="38">
        <v>0</v>
      </c>
      <c r="AI64" s="38">
        <v>0</v>
      </c>
      <c r="AJ64" s="38">
        <v>2.1</v>
      </c>
      <c r="AK64" s="38">
        <v>0</v>
      </c>
      <c r="AL64" s="24">
        <f t="shared" si="1"/>
        <v>2.1</v>
      </c>
      <c r="AM64" s="12"/>
      <c r="AN64" s="12"/>
      <c r="AO64" s="12"/>
      <c r="AP64" s="12"/>
      <c r="AQ64" s="55">
        <f t="shared" si="10"/>
        <v>292.60000000000008</v>
      </c>
      <c r="AR64" s="38"/>
      <c r="AS64" s="38">
        <v>182</v>
      </c>
      <c r="AT64" s="26"/>
      <c r="AU64" s="49"/>
      <c r="AV64" s="136"/>
      <c r="AW64" s="137"/>
    </row>
    <row r="65" spans="1:49" ht="19.399999999999999" customHeight="1">
      <c r="A65" s="18" t="s">
        <v>134</v>
      </c>
      <c r="B65" s="18" t="s">
        <v>512</v>
      </c>
      <c r="C65" s="19" t="s">
        <v>127</v>
      </c>
      <c r="D65" s="19" t="s">
        <v>127</v>
      </c>
      <c r="E65" s="19" t="s">
        <v>559</v>
      </c>
      <c r="F65" s="58">
        <v>8</v>
      </c>
      <c r="G65" s="43">
        <v>22</v>
      </c>
      <c r="H65" s="44">
        <v>58.3</v>
      </c>
      <c r="I65" s="44" t="s">
        <v>38</v>
      </c>
      <c r="J65" s="43">
        <v>120</v>
      </c>
      <c r="K65" s="44">
        <v>10.4</v>
      </c>
      <c r="L65" s="44" t="s">
        <v>122</v>
      </c>
      <c r="M65" s="43" t="s">
        <v>115</v>
      </c>
      <c r="N65" s="45">
        <v>6</v>
      </c>
      <c r="O65" s="45">
        <v>2</v>
      </c>
      <c r="P65" s="45">
        <v>1</v>
      </c>
      <c r="Q65" s="45">
        <v>1</v>
      </c>
      <c r="R65" s="46">
        <v>4.0999999999999996</v>
      </c>
      <c r="S65" s="46">
        <v>4.2</v>
      </c>
      <c r="T65" s="46">
        <v>286</v>
      </c>
      <c r="U65" s="47">
        <v>3096</v>
      </c>
      <c r="V65" s="23">
        <v>24</v>
      </c>
      <c r="W65" s="38">
        <v>0</v>
      </c>
      <c r="X65" s="38">
        <v>0</v>
      </c>
      <c r="Y65" s="38">
        <v>24</v>
      </c>
      <c r="Z65" s="38">
        <v>0</v>
      </c>
      <c r="AA65" s="44">
        <v>0</v>
      </c>
      <c r="AB65" s="44">
        <v>0</v>
      </c>
      <c r="AC65" s="52" t="s">
        <v>113</v>
      </c>
      <c r="AD65" s="40">
        <v>203</v>
      </c>
      <c r="AE65" s="40"/>
      <c r="AF65" s="41">
        <v>0</v>
      </c>
      <c r="AG65" s="41">
        <v>0</v>
      </c>
      <c r="AH65" s="38">
        <v>0</v>
      </c>
      <c r="AI65" s="38">
        <v>0</v>
      </c>
      <c r="AJ65" s="38">
        <v>2.1</v>
      </c>
      <c r="AK65" s="56">
        <v>0</v>
      </c>
      <c r="AL65" s="24">
        <f t="shared" si="1"/>
        <v>2.1</v>
      </c>
      <c r="AM65" s="12"/>
      <c r="AN65" s="12"/>
      <c r="AO65" s="12"/>
      <c r="AP65" s="12"/>
      <c r="AQ65" s="55">
        <f t="shared" si="10"/>
        <v>290.50000000000006</v>
      </c>
      <c r="AR65" s="38"/>
      <c r="AS65" s="38">
        <v>177</v>
      </c>
      <c r="AT65" s="26"/>
      <c r="AU65" s="49"/>
      <c r="AV65" s="136"/>
      <c r="AW65" s="137"/>
    </row>
    <row r="66" spans="1:49" ht="19.399999999999999" customHeight="1">
      <c r="A66" s="18" t="s">
        <v>134</v>
      </c>
      <c r="B66" s="18" t="s">
        <v>512</v>
      </c>
      <c r="C66" s="19" t="s">
        <v>127</v>
      </c>
      <c r="D66" s="19" t="s">
        <v>127</v>
      </c>
      <c r="E66" s="19" t="s">
        <v>560</v>
      </c>
      <c r="F66" s="58">
        <v>8</v>
      </c>
      <c r="G66" s="43">
        <v>22</v>
      </c>
      <c r="H66" s="44">
        <v>58.3</v>
      </c>
      <c r="I66" s="44" t="s">
        <v>38</v>
      </c>
      <c r="J66" s="43">
        <v>120</v>
      </c>
      <c r="K66" s="44">
        <v>10.4</v>
      </c>
      <c r="L66" s="44" t="s">
        <v>122</v>
      </c>
      <c r="M66" s="43" t="s">
        <v>115</v>
      </c>
      <c r="N66" s="45">
        <v>6</v>
      </c>
      <c r="O66" s="45">
        <v>2</v>
      </c>
      <c r="P66" s="45">
        <v>1</v>
      </c>
      <c r="Q66" s="45">
        <v>1</v>
      </c>
      <c r="R66" s="46">
        <v>4.0999999999999996</v>
      </c>
      <c r="S66" s="46">
        <v>4.2</v>
      </c>
      <c r="T66" s="46">
        <v>286</v>
      </c>
      <c r="U66" s="47">
        <v>3096</v>
      </c>
      <c r="V66" s="23">
        <v>24</v>
      </c>
      <c r="W66" s="38">
        <v>0</v>
      </c>
      <c r="X66" s="38">
        <v>0</v>
      </c>
      <c r="Y66" s="38">
        <v>24</v>
      </c>
      <c r="Z66" s="38">
        <v>0</v>
      </c>
      <c r="AA66" s="44">
        <v>0</v>
      </c>
      <c r="AB66" s="44">
        <v>0</v>
      </c>
      <c r="AC66" s="52" t="s">
        <v>113</v>
      </c>
      <c r="AD66" s="40">
        <v>228</v>
      </c>
      <c r="AE66" s="40"/>
      <c r="AF66" s="41">
        <v>0</v>
      </c>
      <c r="AG66" s="41">
        <v>0</v>
      </c>
      <c r="AH66" s="38">
        <v>0</v>
      </c>
      <c r="AI66" s="38">
        <v>0</v>
      </c>
      <c r="AJ66" s="38">
        <v>2.1</v>
      </c>
      <c r="AK66" s="56">
        <v>0</v>
      </c>
      <c r="AL66" s="24">
        <f t="shared" si="1"/>
        <v>2.1</v>
      </c>
      <c r="AM66" s="12"/>
      <c r="AN66" s="12"/>
      <c r="AO66" s="12"/>
      <c r="AP66" s="12"/>
      <c r="AQ66" s="55">
        <f t="shared" si="10"/>
        <v>288.40000000000003</v>
      </c>
      <c r="AR66" s="38"/>
      <c r="AS66" s="38">
        <v>173</v>
      </c>
      <c r="AT66" s="26"/>
      <c r="AU66" s="49"/>
      <c r="AV66" s="136"/>
      <c r="AW66" s="137"/>
    </row>
    <row r="67" spans="1:49" ht="19.399999999999999" customHeight="1">
      <c r="A67" s="18" t="s">
        <v>134</v>
      </c>
      <c r="B67" s="18" t="s">
        <v>512</v>
      </c>
      <c r="C67" s="19" t="s">
        <v>127</v>
      </c>
      <c r="D67" s="19" t="s">
        <v>127</v>
      </c>
      <c r="E67" s="19" t="s">
        <v>561</v>
      </c>
      <c r="F67" s="58">
        <v>8</v>
      </c>
      <c r="G67" s="43">
        <v>22</v>
      </c>
      <c r="H67" s="44">
        <v>58.3</v>
      </c>
      <c r="I67" s="44" t="s">
        <v>38</v>
      </c>
      <c r="J67" s="43">
        <v>120</v>
      </c>
      <c r="K67" s="44">
        <v>10.4</v>
      </c>
      <c r="L67" s="44" t="s">
        <v>122</v>
      </c>
      <c r="M67" s="43" t="s">
        <v>115</v>
      </c>
      <c r="N67" s="45">
        <v>6</v>
      </c>
      <c r="O67" s="45">
        <v>2</v>
      </c>
      <c r="P67" s="45">
        <v>1</v>
      </c>
      <c r="Q67" s="45">
        <v>1</v>
      </c>
      <c r="R67" s="46">
        <v>4.0999999999999996</v>
      </c>
      <c r="S67" s="46">
        <v>4.2</v>
      </c>
      <c r="T67" s="46">
        <v>286</v>
      </c>
      <c r="U67" s="47">
        <v>3096</v>
      </c>
      <c r="V67" s="23">
        <v>24</v>
      </c>
      <c r="W67" s="38">
        <v>0</v>
      </c>
      <c r="X67" s="38">
        <v>0</v>
      </c>
      <c r="Y67" s="38">
        <v>24</v>
      </c>
      <c r="Z67" s="38">
        <v>0</v>
      </c>
      <c r="AA67" s="44">
        <v>0</v>
      </c>
      <c r="AB67" s="44">
        <v>0</v>
      </c>
      <c r="AC67" s="52" t="s">
        <v>113</v>
      </c>
      <c r="AD67" s="40">
        <v>210</v>
      </c>
      <c r="AE67" s="40"/>
      <c r="AF67" s="41">
        <v>0</v>
      </c>
      <c r="AG67" s="41">
        <v>0</v>
      </c>
      <c r="AH67" s="38">
        <v>0</v>
      </c>
      <c r="AI67" s="38">
        <v>0</v>
      </c>
      <c r="AJ67" s="38">
        <v>1.8</v>
      </c>
      <c r="AK67" s="56">
        <v>0</v>
      </c>
      <c r="AL67" s="24">
        <f t="shared" si="1"/>
        <v>1.8</v>
      </c>
      <c r="AM67" s="12"/>
      <c r="AN67" s="12"/>
      <c r="AO67" s="12"/>
      <c r="AP67" s="12"/>
      <c r="AQ67" s="55">
        <f t="shared" si="10"/>
        <v>286.60000000000002</v>
      </c>
      <c r="AR67" s="38"/>
      <c r="AS67" s="38">
        <v>167</v>
      </c>
      <c r="AT67" s="26"/>
      <c r="AU67" s="49"/>
      <c r="AV67" s="136"/>
      <c r="AW67" s="137"/>
    </row>
    <row r="68" spans="1:49" ht="19.399999999999999" customHeight="1">
      <c r="A68" s="18" t="s">
        <v>134</v>
      </c>
      <c r="B68" s="18" t="s">
        <v>512</v>
      </c>
      <c r="C68" s="19" t="s">
        <v>127</v>
      </c>
      <c r="D68" s="19" t="s">
        <v>127</v>
      </c>
      <c r="E68" s="19" t="s">
        <v>562</v>
      </c>
      <c r="F68" s="58">
        <v>8</v>
      </c>
      <c r="G68" s="43">
        <v>22</v>
      </c>
      <c r="H68" s="44">
        <v>58.3</v>
      </c>
      <c r="I68" s="44" t="s">
        <v>38</v>
      </c>
      <c r="J68" s="43">
        <v>120</v>
      </c>
      <c r="K68" s="44">
        <v>10.4</v>
      </c>
      <c r="L68" s="44" t="s">
        <v>122</v>
      </c>
      <c r="M68" s="43" t="s">
        <v>115</v>
      </c>
      <c r="N68" s="45">
        <v>6</v>
      </c>
      <c r="O68" s="45">
        <v>2</v>
      </c>
      <c r="P68" s="45">
        <v>1</v>
      </c>
      <c r="Q68" s="45">
        <v>1</v>
      </c>
      <c r="R68" s="46">
        <v>4.0999999999999996</v>
      </c>
      <c r="S68" s="46">
        <v>4.2</v>
      </c>
      <c r="T68" s="46">
        <v>286</v>
      </c>
      <c r="U68" s="47">
        <v>3096</v>
      </c>
      <c r="V68" s="23">
        <v>24</v>
      </c>
      <c r="W68" s="38">
        <v>0</v>
      </c>
      <c r="X68" s="38">
        <v>0</v>
      </c>
      <c r="Y68" s="38">
        <v>24</v>
      </c>
      <c r="Z68" s="38">
        <v>0</v>
      </c>
      <c r="AA68" s="44">
        <v>0</v>
      </c>
      <c r="AB68" s="44">
        <v>0</v>
      </c>
      <c r="AC68" s="52" t="s">
        <v>113</v>
      </c>
      <c r="AD68" s="40">
        <v>232</v>
      </c>
      <c r="AE68" s="40"/>
      <c r="AF68" s="41">
        <v>0</v>
      </c>
      <c r="AG68" s="41">
        <v>0</v>
      </c>
      <c r="AH68" s="38">
        <v>0</v>
      </c>
      <c r="AI68" s="38">
        <v>0</v>
      </c>
      <c r="AJ68" s="38">
        <v>1.9</v>
      </c>
      <c r="AK68" s="56">
        <v>0</v>
      </c>
      <c r="AL68" s="24">
        <f t="shared" si="1"/>
        <v>1.9</v>
      </c>
      <c r="AM68" s="12"/>
      <c r="AN68" s="12"/>
      <c r="AO68" s="12"/>
      <c r="AP68" s="12"/>
      <c r="AQ68" s="55">
        <f t="shared" si="10"/>
        <v>284.70000000000005</v>
      </c>
      <c r="AR68" s="38"/>
      <c r="AS68" s="38">
        <v>162</v>
      </c>
      <c r="AT68" s="26"/>
      <c r="AU68" s="49"/>
      <c r="AV68" s="136"/>
      <c r="AW68" s="137"/>
    </row>
    <row r="69" spans="1:49" ht="19.399999999999999" customHeight="1">
      <c r="A69" s="18" t="s">
        <v>134</v>
      </c>
      <c r="B69" s="18" t="s">
        <v>512</v>
      </c>
      <c r="C69" s="19" t="s">
        <v>127</v>
      </c>
      <c r="D69" s="19" t="s">
        <v>127</v>
      </c>
      <c r="E69" s="19" t="s">
        <v>563</v>
      </c>
      <c r="F69" s="58">
        <v>8</v>
      </c>
      <c r="G69" s="43">
        <v>22</v>
      </c>
      <c r="H69" s="44">
        <v>58.3</v>
      </c>
      <c r="I69" s="44" t="s">
        <v>38</v>
      </c>
      <c r="J69" s="43">
        <v>120</v>
      </c>
      <c r="K69" s="44">
        <v>10.4</v>
      </c>
      <c r="L69" s="44" t="s">
        <v>122</v>
      </c>
      <c r="M69" s="43" t="s">
        <v>115</v>
      </c>
      <c r="N69" s="45">
        <v>6</v>
      </c>
      <c r="O69" s="45">
        <v>2</v>
      </c>
      <c r="P69" s="45">
        <v>1</v>
      </c>
      <c r="Q69" s="45">
        <v>1</v>
      </c>
      <c r="R69" s="46">
        <v>4.0999999999999996</v>
      </c>
      <c r="S69" s="46">
        <v>4.2</v>
      </c>
      <c r="T69" s="46">
        <v>286</v>
      </c>
      <c r="U69" s="47">
        <v>3096</v>
      </c>
      <c r="V69" s="23">
        <v>24</v>
      </c>
      <c r="W69" s="38">
        <v>0</v>
      </c>
      <c r="X69" s="38">
        <v>0</v>
      </c>
      <c r="Y69" s="38">
        <v>24</v>
      </c>
      <c r="Z69" s="38">
        <v>0</v>
      </c>
      <c r="AA69" s="44">
        <v>0</v>
      </c>
      <c r="AB69" s="44">
        <v>0</v>
      </c>
      <c r="AC69" s="52" t="s">
        <v>113</v>
      </c>
      <c r="AD69" s="40">
        <v>234</v>
      </c>
      <c r="AE69" s="40"/>
      <c r="AF69" s="41">
        <v>0</v>
      </c>
      <c r="AG69" s="41">
        <v>0</v>
      </c>
      <c r="AH69" s="38">
        <v>0</v>
      </c>
      <c r="AI69" s="38">
        <v>0</v>
      </c>
      <c r="AJ69" s="38">
        <v>1.9</v>
      </c>
      <c r="AK69" s="56">
        <v>0</v>
      </c>
      <c r="AL69" s="24">
        <f t="shared" si="1"/>
        <v>1.9</v>
      </c>
      <c r="AM69" s="12"/>
      <c r="AN69" s="12"/>
      <c r="AO69" s="12"/>
      <c r="AP69" s="12"/>
      <c r="AQ69" s="55">
        <f t="shared" si="10"/>
        <v>282.80000000000007</v>
      </c>
      <c r="AR69" s="38"/>
      <c r="AS69" s="38">
        <v>156</v>
      </c>
      <c r="AT69" s="26"/>
      <c r="AU69" s="49"/>
      <c r="AV69" s="136"/>
      <c r="AW69" s="137"/>
    </row>
    <row r="70" spans="1:49" ht="19.399999999999999" customHeight="1">
      <c r="A70" s="18" t="s">
        <v>134</v>
      </c>
      <c r="B70" s="18" t="s">
        <v>512</v>
      </c>
      <c r="C70" s="19" t="s">
        <v>127</v>
      </c>
      <c r="D70" s="19" t="s">
        <v>127</v>
      </c>
      <c r="E70" s="19" t="s">
        <v>564</v>
      </c>
      <c r="F70" s="58">
        <v>8</v>
      </c>
      <c r="G70" s="43">
        <v>22</v>
      </c>
      <c r="H70" s="44">
        <v>58.3</v>
      </c>
      <c r="I70" s="44" t="s">
        <v>38</v>
      </c>
      <c r="J70" s="43">
        <v>120</v>
      </c>
      <c r="K70" s="44">
        <v>10.4</v>
      </c>
      <c r="L70" s="44" t="s">
        <v>122</v>
      </c>
      <c r="M70" s="43" t="s">
        <v>115</v>
      </c>
      <c r="N70" s="45">
        <v>6</v>
      </c>
      <c r="O70" s="45">
        <v>2</v>
      </c>
      <c r="P70" s="45">
        <v>1</v>
      </c>
      <c r="Q70" s="45">
        <v>1</v>
      </c>
      <c r="R70" s="46">
        <v>4.0999999999999996</v>
      </c>
      <c r="S70" s="46">
        <v>4.2</v>
      </c>
      <c r="T70" s="46">
        <v>286</v>
      </c>
      <c r="U70" s="47">
        <v>3096</v>
      </c>
      <c r="V70" s="23">
        <v>24</v>
      </c>
      <c r="W70" s="38">
        <v>0</v>
      </c>
      <c r="X70" s="38">
        <v>0</v>
      </c>
      <c r="Y70" s="38">
        <v>24</v>
      </c>
      <c r="Z70" s="38">
        <v>0</v>
      </c>
      <c r="AA70" s="44">
        <v>0</v>
      </c>
      <c r="AB70" s="44">
        <v>0</v>
      </c>
      <c r="AC70" s="52" t="s">
        <v>113</v>
      </c>
      <c r="AD70" s="40">
        <v>195</v>
      </c>
      <c r="AE70" s="40"/>
      <c r="AF70" s="41">
        <v>0</v>
      </c>
      <c r="AG70" s="41">
        <v>0</v>
      </c>
      <c r="AH70" s="38">
        <v>0</v>
      </c>
      <c r="AI70" s="38">
        <v>0</v>
      </c>
      <c r="AJ70" s="38">
        <v>2</v>
      </c>
      <c r="AK70" s="56">
        <v>0</v>
      </c>
      <c r="AL70" s="24">
        <f t="shared" si="1"/>
        <v>2</v>
      </c>
      <c r="AM70" s="12"/>
      <c r="AN70" s="12"/>
      <c r="AO70" s="12"/>
      <c r="AP70" s="12"/>
      <c r="AQ70" s="55">
        <f t="shared" si="10"/>
        <v>280.80000000000007</v>
      </c>
      <c r="AR70" s="38"/>
      <c r="AS70" s="38">
        <v>150</v>
      </c>
      <c r="AT70" s="26"/>
      <c r="AU70" s="49"/>
      <c r="AV70" s="136"/>
      <c r="AW70" s="137"/>
    </row>
    <row r="71" spans="1:49" ht="19.399999999999999" customHeight="1">
      <c r="A71" s="18" t="s">
        <v>134</v>
      </c>
      <c r="B71" s="18" t="s">
        <v>512</v>
      </c>
      <c r="C71" s="19" t="s">
        <v>127</v>
      </c>
      <c r="D71" s="19" t="s">
        <v>127</v>
      </c>
      <c r="E71" s="19" t="s">
        <v>565</v>
      </c>
      <c r="F71" s="58">
        <v>8</v>
      </c>
      <c r="G71" s="43">
        <v>22</v>
      </c>
      <c r="H71" s="44">
        <v>58.3</v>
      </c>
      <c r="I71" s="44" t="s">
        <v>38</v>
      </c>
      <c r="J71" s="43">
        <v>120</v>
      </c>
      <c r="K71" s="44">
        <v>10.4</v>
      </c>
      <c r="L71" s="44" t="s">
        <v>122</v>
      </c>
      <c r="M71" s="43" t="s">
        <v>115</v>
      </c>
      <c r="N71" s="45">
        <v>6</v>
      </c>
      <c r="O71" s="45">
        <v>2</v>
      </c>
      <c r="P71" s="45">
        <v>1</v>
      </c>
      <c r="Q71" s="45">
        <v>1</v>
      </c>
      <c r="R71" s="46">
        <v>4.0999999999999996</v>
      </c>
      <c r="S71" s="46">
        <v>4.2</v>
      </c>
      <c r="T71" s="46">
        <v>286</v>
      </c>
      <c r="U71" s="47">
        <v>3096</v>
      </c>
      <c r="V71" s="23">
        <v>24</v>
      </c>
      <c r="W71" s="38">
        <v>0</v>
      </c>
      <c r="X71" s="38">
        <v>0</v>
      </c>
      <c r="Y71" s="38">
        <v>24</v>
      </c>
      <c r="Z71" s="38">
        <v>0</v>
      </c>
      <c r="AA71" s="44">
        <v>0</v>
      </c>
      <c r="AB71" s="44">
        <v>0</v>
      </c>
      <c r="AC71" s="52" t="s">
        <v>113</v>
      </c>
      <c r="AD71" s="40">
        <v>227</v>
      </c>
      <c r="AE71" s="40"/>
      <c r="AF71" s="41">
        <v>0</v>
      </c>
      <c r="AG71" s="41">
        <v>0</v>
      </c>
      <c r="AH71" s="38">
        <v>0</v>
      </c>
      <c r="AI71" s="38">
        <v>0</v>
      </c>
      <c r="AJ71" s="38">
        <v>2.2000000000000002</v>
      </c>
      <c r="AK71" s="56">
        <v>0</v>
      </c>
      <c r="AL71" s="24">
        <f t="shared" si="1"/>
        <v>2.2000000000000002</v>
      </c>
      <c r="AM71" s="12"/>
      <c r="AN71" s="12"/>
      <c r="AO71" s="12"/>
      <c r="AP71" s="12"/>
      <c r="AQ71" s="55">
        <f t="shared" si="10"/>
        <v>278.60000000000008</v>
      </c>
      <c r="AR71" s="38"/>
      <c r="AS71" s="38">
        <v>144</v>
      </c>
      <c r="AT71" s="26"/>
      <c r="AU71" s="49"/>
      <c r="AV71" s="136"/>
      <c r="AW71" s="137"/>
    </row>
    <row r="72" spans="1:49" ht="19.399999999999999" customHeight="1">
      <c r="A72" s="18" t="s">
        <v>134</v>
      </c>
      <c r="B72" s="18" t="s">
        <v>512</v>
      </c>
      <c r="C72" s="19" t="s">
        <v>127</v>
      </c>
      <c r="D72" s="19" t="s">
        <v>127</v>
      </c>
      <c r="E72" s="19" t="s">
        <v>566</v>
      </c>
      <c r="F72" s="58">
        <v>8</v>
      </c>
      <c r="G72" s="43">
        <v>22</v>
      </c>
      <c r="H72" s="44">
        <v>58.3</v>
      </c>
      <c r="I72" s="44" t="s">
        <v>38</v>
      </c>
      <c r="J72" s="43">
        <v>120</v>
      </c>
      <c r="K72" s="44">
        <v>10.4</v>
      </c>
      <c r="L72" s="44" t="s">
        <v>122</v>
      </c>
      <c r="M72" s="43" t="s">
        <v>115</v>
      </c>
      <c r="N72" s="45">
        <v>6</v>
      </c>
      <c r="O72" s="45">
        <v>2</v>
      </c>
      <c r="P72" s="45">
        <v>1</v>
      </c>
      <c r="Q72" s="45">
        <v>1</v>
      </c>
      <c r="R72" s="46">
        <v>4.0999999999999996</v>
      </c>
      <c r="S72" s="46">
        <v>4.2</v>
      </c>
      <c r="T72" s="46">
        <v>286</v>
      </c>
      <c r="U72" s="47">
        <v>3096</v>
      </c>
      <c r="V72" s="23">
        <v>24</v>
      </c>
      <c r="W72" s="38">
        <v>0</v>
      </c>
      <c r="X72" s="38">
        <v>0</v>
      </c>
      <c r="Y72" s="38">
        <v>24</v>
      </c>
      <c r="Z72" s="38">
        <v>0</v>
      </c>
      <c r="AA72" s="44">
        <v>0</v>
      </c>
      <c r="AB72" s="44">
        <v>0</v>
      </c>
      <c r="AC72" s="52" t="s">
        <v>113</v>
      </c>
      <c r="AD72" s="40">
        <v>225</v>
      </c>
      <c r="AE72" s="40"/>
      <c r="AF72" s="41">
        <v>0</v>
      </c>
      <c r="AG72" s="41">
        <v>0</v>
      </c>
      <c r="AH72" s="38">
        <v>0</v>
      </c>
      <c r="AI72" s="38">
        <v>0</v>
      </c>
      <c r="AJ72" s="38">
        <v>1.8</v>
      </c>
      <c r="AK72" s="56">
        <v>0</v>
      </c>
      <c r="AL72" s="24">
        <f t="shared" si="1"/>
        <v>1.8</v>
      </c>
      <c r="AM72" s="12"/>
      <c r="AN72" s="12"/>
      <c r="AO72" s="12"/>
      <c r="AP72" s="12"/>
      <c r="AQ72" s="55">
        <f t="shared" si="10"/>
        <v>276.80000000000007</v>
      </c>
      <c r="AR72" s="38"/>
      <c r="AS72" s="38">
        <v>137</v>
      </c>
      <c r="AT72" s="26"/>
      <c r="AU72" s="49"/>
      <c r="AV72" s="136"/>
      <c r="AW72" s="137"/>
    </row>
    <row r="73" spans="1:49" ht="19.399999999999999" customHeight="1">
      <c r="A73" s="18" t="s">
        <v>134</v>
      </c>
      <c r="B73" s="18" t="s">
        <v>512</v>
      </c>
      <c r="C73" s="19" t="s">
        <v>127</v>
      </c>
      <c r="D73" s="19" t="s">
        <v>127</v>
      </c>
      <c r="E73" s="19" t="s">
        <v>567</v>
      </c>
      <c r="F73" s="58">
        <v>8</v>
      </c>
      <c r="G73" s="43">
        <v>22</v>
      </c>
      <c r="H73" s="44">
        <v>58.3</v>
      </c>
      <c r="I73" s="44" t="s">
        <v>38</v>
      </c>
      <c r="J73" s="43">
        <v>120</v>
      </c>
      <c r="K73" s="44">
        <v>10.4</v>
      </c>
      <c r="L73" s="44" t="s">
        <v>122</v>
      </c>
      <c r="M73" s="43" t="s">
        <v>115</v>
      </c>
      <c r="N73" s="45">
        <v>6</v>
      </c>
      <c r="O73" s="45">
        <v>2</v>
      </c>
      <c r="P73" s="45">
        <v>1</v>
      </c>
      <c r="Q73" s="45">
        <v>1</v>
      </c>
      <c r="R73" s="46">
        <v>4.0999999999999996</v>
      </c>
      <c r="S73" s="46">
        <v>4.2</v>
      </c>
      <c r="T73" s="46">
        <v>286</v>
      </c>
      <c r="U73" s="47">
        <v>3096</v>
      </c>
      <c r="V73" s="23">
        <v>24</v>
      </c>
      <c r="W73" s="38">
        <v>0</v>
      </c>
      <c r="X73" s="38">
        <v>0</v>
      </c>
      <c r="Y73" s="38">
        <v>24</v>
      </c>
      <c r="Z73" s="38">
        <v>0</v>
      </c>
      <c r="AA73" s="44">
        <v>0</v>
      </c>
      <c r="AB73" s="44">
        <v>0</v>
      </c>
      <c r="AC73" s="52" t="s">
        <v>113</v>
      </c>
      <c r="AD73" s="40">
        <v>233</v>
      </c>
      <c r="AE73" s="40"/>
      <c r="AF73" s="41">
        <v>0</v>
      </c>
      <c r="AG73" s="41">
        <v>0</v>
      </c>
      <c r="AH73" s="38">
        <v>0</v>
      </c>
      <c r="AI73" s="38">
        <v>0</v>
      </c>
      <c r="AJ73" s="38">
        <v>2.1</v>
      </c>
      <c r="AK73" s="56">
        <v>0</v>
      </c>
      <c r="AL73" s="24">
        <f t="shared" si="1"/>
        <v>2.1</v>
      </c>
      <c r="AM73" s="12"/>
      <c r="AN73" s="12"/>
      <c r="AO73" s="12"/>
      <c r="AP73" s="12"/>
      <c r="AQ73" s="55">
        <f t="shared" si="10"/>
        <v>274.70000000000005</v>
      </c>
      <c r="AR73" s="38"/>
      <c r="AS73" s="38">
        <v>133</v>
      </c>
      <c r="AT73" s="26"/>
      <c r="AU73" s="49"/>
      <c r="AV73" s="136"/>
      <c r="AW73" s="137"/>
    </row>
    <row r="74" spans="1:49" ht="19.399999999999999" customHeight="1">
      <c r="A74" s="18" t="s">
        <v>134</v>
      </c>
      <c r="B74" s="18" t="s">
        <v>512</v>
      </c>
      <c r="C74" s="19" t="s">
        <v>127</v>
      </c>
      <c r="D74" s="19" t="s">
        <v>127</v>
      </c>
      <c r="E74" s="19" t="s">
        <v>568</v>
      </c>
      <c r="F74" s="58">
        <v>8</v>
      </c>
      <c r="G74" s="43">
        <v>22</v>
      </c>
      <c r="H74" s="44">
        <v>58.3</v>
      </c>
      <c r="I74" s="44" t="s">
        <v>38</v>
      </c>
      <c r="J74" s="43">
        <v>120</v>
      </c>
      <c r="K74" s="44">
        <v>10.4</v>
      </c>
      <c r="L74" s="44" t="s">
        <v>122</v>
      </c>
      <c r="M74" s="43" t="s">
        <v>115</v>
      </c>
      <c r="N74" s="45">
        <v>6</v>
      </c>
      <c r="O74" s="45">
        <v>2</v>
      </c>
      <c r="P74" s="45">
        <v>1</v>
      </c>
      <c r="Q74" s="45">
        <v>1</v>
      </c>
      <c r="R74" s="46">
        <v>4.0999999999999996</v>
      </c>
      <c r="S74" s="46">
        <v>4.2</v>
      </c>
      <c r="T74" s="46">
        <v>286</v>
      </c>
      <c r="U74" s="47">
        <v>3096</v>
      </c>
      <c r="V74" s="23">
        <v>24</v>
      </c>
      <c r="W74" s="38">
        <v>0</v>
      </c>
      <c r="X74" s="38">
        <v>0</v>
      </c>
      <c r="Y74" s="38">
        <v>24</v>
      </c>
      <c r="Z74" s="38">
        <v>0</v>
      </c>
      <c r="AA74" s="44">
        <v>0</v>
      </c>
      <c r="AB74" s="44">
        <v>0</v>
      </c>
      <c r="AC74" s="52" t="s">
        <v>569</v>
      </c>
      <c r="AD74" s="40">
        <v>255</v>
      </c>
      <c r="AE74" s="40"/>
      <c r="AF74" s="41">
        <v>0</v>
      </c>
      <c r="AG74" s="41">
        <v>0</v>
      </c>
      <c r="AH74" s="38">
        <v>0</v>
      </c>
      <c r="AI74" s="38">
        <v>0</v>
      </c>
      <c r="AJ74" s="38">
        <v>2.2000000000000002</v>
      </c>
      <c r="AK74" s="56">
        <v>0</v>
      </c>
      <c r="AL74" s="24">
        <f t="shared" si="1"/>
        <v>2.2000000000000002</v>
      </c>
      <c r="AM74" s="12"/>
      <c r="AN74" s="12"/>
      <c r="AO74" s="12"/>
      <c r="AP74" s="12"/>
      <c r="AQ74" s="55">
        <f t="shared" si="10"/>
        <v>272.50000000000006</v>
      </c>
      <c r="AR74" s="38"/>
      <c r="AS74" s="38">
        <v>128</v>
      </c>
      <c r="AT74" s="26"/>
      <c r="AU74" s="49"/>
      <c r="AV74" s="136"/>
      <c r="AW74" s="137"/>
    </row>
    <row r="75" spans="1:49" ht="19.399999999999999" customHeight="1">
      <c r="A75" s="18" t="s">
        <v>134</v>
      </c>
      <c r="B75" s="18" t="s">
        <v>512</v>
      </c>
      <c r="C75" s="19" t="s">
        <v>127</v>
      </c>
      <c r="D75" s="19" t="s">
        <v>127</v>
      </c>
      <c r="E75" s="19" t="s">
        <v>570</v>
      </c>
      <c r="F75" s="58">
        <v>8</v>
      </c>
      <c r="G75" s="43">
        <v>22</v>
      </c>
      <c r="H75" s="44">
        <v>58.3</v>
      </c>
      <c r="I75" s="44" t="s">
        <v>38</v>
      </c>
      <c r="J75" s="43">
        <v>120</v>
      </c>
      <c r="K75" s="44">
        <v>10.4</v>
      </c>
      <c r="L75" s="44" t="s">
        <v>122</v>
      </c>
      <c r="M75" s="43" t="s">
        <v>115</v>
      </c>
      <c r="N75" s="45">
        <v>6</v>
      </c>
      <c r="O75" s="45">
        <v>2</v>
      </c>
      <c r="P75" s="45">
        <v>1</v>
      </c>
      <c r="Q75" s="45">
        <v>1</v>
      </c>
      <c r="R75" s="46">
        <v>4.0999999999999996</v>
      </c>
      <c r="S75" s="46">
        <v>4.2</v>
      </c>
      <c r="T75" s="46">
        <v>286</v>
      </c>
      <c r="U75" s="47">
        <v>3096</v>
      </c>
      <c r="V75" s="23">
        <v>24</v>
      </c>
      <c r="W75" s="38">
        <v>0</v>
      </c>
      <c r="X75" s="38">
        <v>0</v>
      </c>
      <c r="Y75" s="38">
        <v>24</v>
      </c>
      <c r="Z75" s="38">
        <v>0</v>
      </c>
      <c r="AA75" s="44">
        <v>0</v>
      </c>
      <c r="AB75" s="44">
        <v>0</v>
      </c>
      <c r="AC75" s="52" t="s">
        <v>113</v>
      </c>
      <c r="AD75" s="40">
        <v>241</v>
      </c>
      <c r="AE75" s="40"/>
      <c r="AF75" s="41">
        <v>0</v>
      </c>
      <c r="AG75" s="41">
        <v>0</v>
      </c>
      <c r="AH75" s="38">
        <v>0</v>
      </c>
      <c r="AI75" s="38">
        <v>0</v>
      </c>
      <c r="AJ75" s="38">
        <v>1.5</v>
      </c>
      <c r="AK75" s="56">
        <v>0</v>
      </c>
      <c r="AL75" s="24">
        <f t="shared" si="1"/>
        <v>1.5</v>
      </c>
      <c r="AM75" s="12"/>
      <c r="AN75" s="12"/>
      <c r="AO75" s="12"/>
      <c r="AP75" s="12"/>
      <c r="AQ75" s="55">
        <f t="shared" si="10"/>
        <v>271.00000000000006</v>
      </c>
      <c r="AR75" s="38"/>
      <c r="AS75" s="38">
        <v>124</v>
      </c>
      <c r="AT75" s="26"/>
      <c r="AU75" s="49"/>
      <c r="AV75" s="136"/>
      <c r="AW75" s="137"/>
    </row>
    <row r="76" spans="1:49" ht="19.399999999999999" customHeight="1">
      <c r="A76" s="18" t="s">
        <v>134</v>
      </c>
      <c r="B76" s="18" t="s">
        <v>512</v>
      </c>
      <c r="C76" s="19" t="s">
        <v>127</v>
      </c>
      <c r="D76" s="19" t="s">
        <v>127</v>
      </c>
      <c r="E76" s="19" t="s">
        <v>572</v>
      </c>
      <c r="F76" s="58">
        <v>8</v>
      </c>
      <c r="G76" s="43">
        <v>22</v>
      </c>
      <c r="H76" s="44">
        <v>58.3</v>
      </c>
      <c r="I76" s="44" t="s">
        <v>38</v>
      </c>
      <c r="J76" s="43">
        <v>120</v>
      </c>
      <c r="K76" s="44">
        <v>10.4</v>
      </c>
      <c r="L76" s="44" t="s">
        <v>122</v>
      </c>
      <c r="M76" s="43" t="s">
        <v>115</v>
      </c>
      <c r="N76" s="45">
        <v>6</v>
      </c>
      <c r="O76" s="45">
        <v>2</v>
      </c>
      <c r="P76" s="45">
        <v>1</v>
      </c>
      <c r="Q76" s="45">
        <v>1</v>
      </c>
      <c r="R76" s="46">
        <v>4.0999999999999996</v>
      </c>
      <c r="S76" s="46">
        <v>4.2</v>
      </c>
      <c r="T76" s="46">
        <v>286</v>
      </c>
      <c r="U76" s="47">
        <v>3096</v>
      </c>
      <c r="V76" s="23">
        <v>24</v>
      </c>
      <c r="W76" s="38">
        <v>0</v>
      </c>
      <c r="X76" s="38">
        <v>0</v>
      </c>
      <c r="Y76" s="38">
        <v>24</v>
      </c>
      <c r="Z76" s="38">
        <v>0</v>
      </c>
      <c r="AA76" s="44">
        <v>0</v>
      </c>
      <c r="AB76" s="44">
        <v>0</v>
      </c>
      <c r="AC76" s="52" t="s">
        <v>113</v>
      </c>
      <c r="AD76" s="40">
        <v>221</v>
      </c>
      <c r="AE76" s="40"/>
      <c r="AF76" s="41">
        <v>0</v>
      </c>
      <c r="AG76" s="41">
        <v>0</v>
      </c>
      <c r="AH76" s="38">
        <v>0</v>
      </c>
      <c r="AI76" s="38">
        <v>0</v>
      </c>
      <c r="AJ76" s="38">
        <v>2</v>
      </c>
      <c r="AK76" s="56">
        <v>0</v>
      </c>
      <c r="AL76" s="24">
        <f t="shared" si="1"/>
        <v>2</v>
      </c>
      <c r="AM76" s="12"/>
      <c r="AN76" s="12"/>
      <c r="AO76" s="12"/>
      <c r="AP76" s="12"/>
      <c r="AQ76" s="55">
        <f t="shared" si="10"/>
        <v>269.00000000000006</v>
      </c>
      <c r="AR76" s="38"/>
      <c r="AS76" s="38">
        <v>122</v>
      </c>
      <c r="AT76" s="26"/>
      <c r="AU76" s="49"/>
      <c r="AV76" s="136" t="s">
        <v>571</v>
      </c>
      <c r="AW76" s="137"/>
    </row>
    <row r="77" spans="1:49" ht="19.399999999999999" customHeight="1">
      <c r="A77" s="18" t="s">
        <v>134</v>
      </c>
      <c r="B77" s="18" t="s">
        <v>512</v>
      </c>
      <c r="C77" s="19" t="s">
        <v>127</v>
      </c>
      <c r="D77" s="19" t="s">
        <v>127</v>
      </c>
      <c r="E77" s="19" t="s">
        <v>574</v>
      </c>
      <c r="F77" s="58">
        <v>8</v>
      </c>
      <c r="G77" s="43">
        <v>22</v>
      </c>
      <c r="H77" s="44">
        <v>58.3</v>
      </c>
      <c r="I77" s="44" t="s">
        <v>38</v>
      </c>
      <c r="J77" s="43">
        <v>120</v>
      </c>
      <c r="K77" s="44">
        <v>10.4</v>
      </c>
      <c r="L77" s="44" t="s">
        <v>122</v>
      </c>
      <c r="M77" s="43" t="s">
        <v>115</v>
      </c>
      <c r="N77" s="45">
        <v>6</v>
      </c>
      <c r="O77" s="45">
        <v>2</v>
      </c>
      <c r="P77" s="45">
        <v>1</v>
      </c>
      <c r="Q77" s="45">
        <v>1</v>
      </c>
      <c r="R77" s="46">
        <v>4.0999999999999996</v>
      </c>
      <c r="S77" s="46">
        <v>4.2</v>
      </c>
      <c r="T77" s="46">
        <v>286</v>
      </c>
      <c r="U77" s="47">
        <v>3096</v>
      </c>
      <c r="V77" s="23">
        <v>24</v>
      </c>
      <c r="W77" s="38">
        <v>0</v>
      </c>
      <c r="X77" s="38">
        <v>0</v>
      </c>
      <c r="Y77" s="38">
        <v>24</v>
      </c>
      <c r="Z77" s="38">
        <v>0</v>
      </c>
      <c r="AA77" s="44">
        <v>0</v>
      </c>
      <c r="AB77" s="44">
        <v>0</v>
      </c>
      <c r="AC77" s="52" t="s">
        <v>113</v>
      </c>
      <c r="AD77" s="40">
        <v>238</v>
      </c>
      <c r="AE77" s="40"/>
      <c r="AF77" s="41">
        <v>0</v>
      </c>
      <c r="AG77" s="41">
        <v>0</v>
      </c>
      <c r="AH77" s="38">
        <v>0</v>
      </c>
      <c r="AI77" s="38">
        <v>0</v>
      </c>
      <c r="AJ77" s="38">
        <v>1.8</v>
      </c>
      <c r="AK77" s="56">
        <v>0</v>
      </c>
      <c r="AL77" s="24">
        <f t="shared" si="1"/>
        <v>1.8</v>
      </c>
      <c r="AM77" s="12"/>
      <c r="AN77" s="12"/>
      <c r="AO77" s="12"/>
      <c r="AP77" s="12"/>
      <c r="AQ77" s="55">
        <f t="shared" si="10"/>
        <v>267.20000000000005</v>
      </c>
      <c r="AR77" s="38"/>
      <c r="AS77" s="38">
        <v>293</v>
      </c>
      <c r="AT77" s="26"/>
      <c r="AU77" s="49"/>
      <c r="AV77" s="136" t="s">
        <v>573</v>
      </c>
      <c r="AW77" s="137"/>
    </row>
    <row r="78" spans="1:49" ht="19.399999999999999" customHeight="1">
      <c r="A78" s="18" t="s">
        <v>134</v>
      </c>
      <c r="B78" s="18" t="s">
        <v>512</v>
      </c>
      <c r="C78" s="19" t="s">
        <v>127</v>
      </c>
      <c r="D78" s="19" t="s">
        <v>127</v>
      </c>
      <c r="E78" s="19" t="s">
        <v>575</v>
      </c>
      <c r="F78" s="58">
        <v>8</v>
      </c>
      <c r="G78" s="43">
        <v>22</v>
      </c>
      <c r="H78" s="44">
        <v>58.3</v>
      </c>
      <c r="I78" s="44" t="s">
        <v>38</v>
      </c>
      <c r="J78" s="43">
        <v>120</v>
      </c>
      <c r="K78" s="44">
        <v>10.4</v>
      </c>
      <c r="L78" s="44" t="s">
        <v>122</v>
      </c>
      <c r="M78" s="43" t="s">
        <v>115</v>
      </c>
      <c r="N78" s="45">
        <v>6</v>
      </c>
      <c r="O78" s="45">
        <v>2</v>
      </c>
      <c r="P78" s="45">
        <v>1</v>
      </c>
      <c r="Q78" s="45">
        <v>1</v>
      </c>
      <c r="R78" s="46">
        <v>4.0999999999999996</v>
      </c>
      <c r="S78" s="46">
        <v>4.2</v>
      </c>
      <c r="T78" s="46">
        <v>286</v>
      </c>
      <c r="U78" s="47">
        <v>3096</v>
      </c>
      <c r="V78" s="23">
        <v>24</v>
      </c>
      <c r="W78" s="38">
        <v>0</v>
      </c>
      <c r="X78" s="38">
        <v>0</v>
      </c>
      <c r="Y78" s="38">
        <v>24</v>
      </c>
      <c r="Z78" s="38">
        <v>0</v>
      </c>
      <c r="AA78" s="44">
        <v>0</v>
      </c>
      <c r="AB78" s="44">
        <v>0</v>
      </c>
      <c r="AC78" s="52" t="s">
        <v>113</v>
      </c>
      <c r="AD78" s="40">
        <v>215</v>
      </c>
      <c r="AE78" s="40"/>
      <c r="AF78" s="41">
        <v>0</v>
      </c>
      <c r="AG78" s="40">
        <v>0</v>
      </c>
      <c r="AH78" s="38">
        <v>0</v>
      </c>
      <c r="AI78" s="38">
        <v>0</v>
      </c>
      <c r="AJ78" s="38">
        <v>1.9</v>
      </c>
      <c r="AK78" s="38">
        <v>0</v>
      </c>
      <c r="AL78" s="24">
        <f t="shared" si="1"/>
        <v>1.9</v>
      </c>
      <c r="AM78" s="38"/>
      <c r="AN78" s="38"/>
      <c r="AO78" s="38"/>
      <c r="AP78" s="38"/>
      <c r="AQ78" s="55">
        <f t="shared" si="10"/>
        <v>265.30000000000007</v>
      </c>
      <c r="AR78" s="38"/>
      <c r="AS78" s="38">
        <v>287</v>
      </c>
      <c r="AT78" s="26"/>
      <c r="AU78" s="49"/>
      <c r="AV78" s="139"/>
      <c r="AW78" s="141"/>
    </row>
    <row r="79" spans="1:49" ht="19.399999999999999" customHeight="1">
      <c r="A79" s="18" t="s">
        <v>134</v>
      </c>
      <c r="B79" s="18" t="s">
        <v>512</v>
      </c>
      <c r="C79" s="19" t="s">
        <v>127</v>
      </c>
      <c r="D79" s="19" t="s">
        <v>127</v>
      </c>
      <c r="E79" s="19" t="s">
        <v>576</v>
      </c>
      <c r="F79" s="58">
        <v>8</v>
      </c>
      <c r="G79" s="43">
        <v>22</v>
      </c>
      <c r="H79" s="44">
        <v>58.3</v>
      </c>
      <c r="I79" s="44" t="s">
        <v>38</v>
      </c>
      <c r="J79" s="43">
        <v>120</v>
      </c>
      <c r="K79" s="44">
        <v>10.4</v>
      </c>
      <c r="L79" s="44" t="s">
        <v>122</v>
      </c>
      <c r="M79" s="43" t="s">
        <v>115</v>
      </c>
      <c r="N79" s="45">
        <v>6</v>
      </c>
      <c r="O79" s="45">
        <v>2</v>
      </c>
      <c r="P79" s="45">
        <v>1</v>
      </c>
      <c r="Q79" s="45">
        <v>1</v>
      </c>
      <c r="R79" s="46">
        <v>4.0999999999999996</v>
      </c>
      <c r="S79" s="46">
        <v>4.2</v>
      </c>
      <c r="T79" s="46">
        <v>286</v>
      </c>
      <c r="U79" s="47">
        <v>3096</v>
      </c>
      <c r="V79" s="23">
        <v>24</v>
      </c>
      <c r="W79" s="38">
        <v>0</v>
      </c>
      <c r="X79" s="38">
        <v>0</v>
      </c>
      <c r="Y79" s="38">
        <v>24</v>
      </c>
      <c r="Z79" s="38">
        <v>0</v>
      </c>
      <c r="AA79" s="44">
        <v>0</v>
      </c>
      <c r="AB79" s="44">
        <v>0</v>
      </c>
      <c r="AC79" s="52" t="s">
        <v>113</v>
      </c>
      <c r="AD79" s="40">
        <v>211</v>
      </c>
      <c r="AE79" s="40"/>
      <c r="AF79" s="41">
        <v>0</v>
      </c>
      <c r="AG79" s="41">
        <v>0</v>
      </c>
      <c r="AH79" s="38">
        <v>0</v>
      </c>
      <c r="AI79" s="38">
        <v>0</v>
      </c>
      <c r="AJ79" s="38">
        <v>1.9</v>
      </c>
      <c r="AK79" s="38">
        <v>0</v>
      </c>
      <c r="AL79" s="24">
        <f t="shared" si="1"/>
        <v>1.9</v>
      </c>
      <c r="AM79" s="12"/>
      <c r="AN79" s="12"/>
      <c r="AO79" s="12"/>
      <c r="AP79" s="12"/>
      <c r="AQ79" s="55">
        <f t="shared" si="10"/>
        <v>263.40000000000009</v>
      </c>
      <c r="AR79" s="38"/>
      <c r="AS79" s="38">
        <v>283</v>
      </c>
      <c r="AT79" s="26"/>
      <c r="AU79" s="49"/>
      <c r="AV79" s="139"/>
      <c r="AW79" s="141"/>
    </row>
    <row r="80" spans="1:49" ht="19.399999999999999" customHeight="1">
      <c r="A80" s="18" t="s">
        <v>134</v>
      </c>
      <c r="B80" s="18" t="s">
        <v>512</v>
      </c>
      <c r="C80" s="19" t="s">
        <v>127</v>
      </c>
      <c r="D80" s="19" t="s">
        <v>127</v>
      </c>
      <c r="E80" s="19" t="s">
        <v>577</v>
      </c>
      <c r="F80" s="58">
        <v>8</v>
      </c>
      <c r="G80" s="43">
        <v>22</v>
      </c>
      <c r="H80" s="44">
        <v>58.3</v>
      </c>
      <c r="I80" s="44" t="s">
        <v>38</v>
      </c>
      <c r="J80" s="43">
        <v>120</v>
      </c>
      <c r="K80" s="44">
        <v>10.4</v>
      </c>
      <c r="L80" s="44" t="s">
        <v>122</v>
      </c>
      <c r="M80" s="43" t="s">
        <v>115</v>
      </c>
      <c r="N80" s="45">
        <v>12</v>
      </c>
      <c r="O80" s="45">
        <v>3</v>
      </c>
      <c r="P80" s="45">
        <v>1</v>
      </c>
      <c r="Q80" s="45">
        <v>1</v>
      </c>
      <c r="R80" s="46">
        <v>3.9</v>
      </c>
      <c r="S80" s="46">
        <v>4.0999999999999996</v>
      </c>
      <c r="T80" s="46">
        <v>286</v>
      </c>
      <c r="U80" s="47">
        <v>3096</v>
      </c>
      <c r="V80" s="23">
        <v>24</v>
      </c>
      <c r="W80" s="38">
        <v>0</v>
      </c>
      <c r="X80" s="38">
        <v>0</v>
      </c>
      <c r="Y80" s="38">
        <v>24</v>
      </c>
      <c r="Z80" s="38">
        <v>0</v>
      </c>
      <c r="AA80" s="44">
        <v>0</v>
      </c>
      <c r="AB80" s="44">
        <v>0</v>
      </c>
      <c r="AC80" s="52" t="s">
        <v>113</v>
      </c>
      <c r="AD80" s="40">
        <v>214</v>
      </c>
      <c r="AE80" s="40"/>
      <c r="AF80" s="41">
        <v>0</v>
      </c>
      <c r="AG80" s="40">
        <v>0</v>
      </c>
      <c r="AH80" s="38">
        <v>0</v>
      </c>
      <c r="AI80" s="38">
        <v>0</v>
      </c>
      <c r="AJ80" s="38">
        <v>1.9</v>
      </c>
      <c r="AK80" s="38">
        <v>0</v>
      </c>
      <c r="AL80" s="24">
        <f t="shared" si="1"/>
        <v>1.9</v>
      </c>
      <c r="AM80" s="12"/>
      <c r="AN80" s="12"/>
      <c r="AO80" s="12"/>
      <c r="AP80" s="12"/>
      <c r="AQ80" s="55">
        <f t="shared" si="10"/>
        <v>261.50000000000011</v>
      </c>
      <c r="AR80" s="38"/>
      <c r="AS80" s="38">
        <v>279</v>
      </c>
      <c r="AT80" s="26"/>
      <c r="AU80" s="49"/>
      <c r="AV80" s="139"/>
      <c r="AW80" s="141"/>
    </row>
    <row r="81" spans="1:49" ht="19.399999999999999" customHeight="1">
      <c r="A81" s="18" t="s">
        <v>134</v>
      </c>
      <c r="B81" s="18" t="s">
        <v>512</v>
      </c>
      <c r="C81" s="19" t="s">
        <v>127</v>
      </c>
      <c r="D81" s="19" t="s">
        <v>127</v>
      </c>
      <c r="E81" s="19" t="s">
        <v>578</v>
      </c>
      <c r="F81" s="58">
        <v>8</v>
      </c>
      <c r="G81" s="43">
        <v>22</v>
      </c>
      <c r="H81" s="44">
        <v>58.3</v>
      </c>
      <c r="I81" s="44" t="s">
        <v>38</v>
      </c>
      <c r="J81" s="43">
        <v>120</v>
      </c>
      <c r="K81" s="44">
        <v>10.4</v>
      </c>
      <c r="L81" s="44" t="s">
        <v>122</v>
      </c>
      <c r="M81" s="43" t="s">
        <v>115</v>
      </c>
      <c r="N81" s="45">
        <v>10</v>
      </c>
      <c r="O81" s="45">
        <v>2</v>
      </c>
      <c r="P81" s="45">
        <v>1</v>
      </c>
      <c r="Q81" s="45">
        <v>1</v>
      </c>
      <c r="R81" s="46">
        <v>3.9</v>
      </c>
      <c r="S81" s="46">
        <v>4.0999999999999996</v>
      </c>
      <c r="T81" s="46">
        <v>286</v>
      </c>
      <c r="U81" s="47">
        <v>3096</v>
      </c>
      <c r="V81" s="23">
        <v>24</v>
      </c>
      <c r="W81" s="38">
        <v>0</v>
      </c>
      <c r="X81" s="38">
        <v>0</v>
      </c>
      <c r="Y81" s="38">
        <v>24</v>
      </c>
      <c r="Z81" s="38">
        <v>0</v>
      </c>
      <c r="AA81" s="44">
        <v>0</v>
      </c>
      <c r="AB81" s="44">
        <v>0</v>
      </c>
      <c r="AC81" s="52" t="s">
        <v>113</v>
      </c>
      <c r="AD81" s="40">
        <v>214</v>
      </c>
      <c r="AE81" s="40"/>
      <c r="AF81" s="41">
        <v>0</v>
      </c>
      <c r="AG81" s="40">
        <v>0</v>
      </c>
      <c r="AH81" s="38">
        <v>0</v>
      </c>
      <c r="AI81" s="38">
        <v>0</v>
      </c>
      <c r="AJ81" s="38">
        <v>1.7</v>
      </c>
      <c r="AK81" s="38">
        <v>0</v>
      </c>
      <c r="AL81" s="24">
        <f t="shared" si="1"/>
        <v>1.7</v>
      </c>
      <c r="AM81" s="12"/>
      <c r="AN81" s="12"/>
      <c r="AO81" s="12"/>
      <c r="AP81" s="12"/>
      <c r="AQ81" s="55">
        <f t="shared" si="10"/>
        <v>259.80000000000013</v>
      </c>
      <c r="AR81" s="38"/>
      <c r="AS81" s="38">
        <v>274</v>
      </c>
      <c r="AT81" s="26"/>
      <c r="AU81" s="49"/>
      <c r="AV81" s="139"/>
      <c r="AW81" s="141"/>
    </row>
    <row r="82" spans="1:49" ht="19.399999999999999" customHeight="1">
      <c r="A82" s="18" t="s">
        <v>134</v>
      </c>
      <c r="B82" s="18" t="s">
        <v>512</v>
      </c>
      <c r="C82" s="19" t="s">
        <v>127</v>
      </c>
      <c r="D82" s="19" t="s">
        <v>127</v>
      </c>
      <c r="E82" s="19" t="s">
        <v>579</v>
      </c>
      <c r="F82" s="58">
        <v>8</v>
      </c>
      <c r="G82" s="43">
        <v>22</v>
      </c>
      <c r="H82" s="44">
        <v>58.3</v>
      </c>
      <c r="I82" s="44" t="s">
        <v>38</v>
      </c>
      <c r="J82" s="43">
        <v>120</v>
      </c>
      <c r="K82" s="44">
        <v>10.4</v>
      </c>
      <c r="L82" s="44" t="s">
        <v>122</v>
      </c>
      <c r="M82" s="43" t="s">
        <v>115</v>
      </c>
      <c r="N82" s="45">
        <v>12</v>
      </c>
      <c r="O82" s="45">
        <v>2</v>
      </c>
      <c r="P82" s="45">
        <v>1</v>
      </c>
      <c r="Q82" s="45">
        <v>1</v>
      </c>
      <c r="R82" s="46">
        <v>3.9</v>
      </c>
      <c r="S82" s="46">
        <v>4.0999999999999996</v>
      </c>
      <c r="T82" s="46">
        <v>286</v>
      </c>
      <c r="U82" s="47">
        <v>3096</v>
      </c>
      <c r="V82" s="23">
        <v>24</v>
      </c>
      <c r="W82" s="38">
        <v>0</v>
      </c>
      <c r="X82" s="38">
        <v>0</v>
      </c>
      <c r="Y82" s="38">
        <v>24</v>
      </c>
      <c r="Z82" s="38">
        <v>0</v>
      </c>
      <c r="AA82" s="44">
        <v>0</v>
      </c>
      <c r="AB82" s="44">
        <v>0</v>
      </c>
      <c r="AC82" s="52" t="s">
        <v>113</v>
      </c>
      <c r="AD82" s="40">
        <v>219</v>
      </c>
      <c r="AE82" s="40"/>
      <c r="AF82" s="41">
        <v>0</v>
      </c>
      <c r="AG82" s="40">
        <v>0</v>
      </c>
      <c r="AH82" s="38">
        <v>0</v>
      </c>
      <c r="AI82" s="38">
        <v>0</v>
      </c>
      <c r="AJ82" s="38">
        <v>1.8</v>
      </c>
      <c r="AK82" s="38">
        <v>0</v>
      </c>
      <c r="AL82" s="24">
        <f t="shared" si="1"/>
        <v>1.8</v>
      </c>
      <c r="AM82" s="12"/>
      <c r="AN82" s="12"/>
      <c r="AO82" s="12"/>
      <c r="AP82" s="12"/>
      <c r="AQ82" s="55">
        <f t="shared" si="10"/>
        <v>258.00000000000011</v>
      </c>
      <c r="AR82" s="38"/>
      <c r="AS82" s="38">
        <v>268</v>
      </c>
      <c r="AT82" s="26"/>
      <c r="AU82" s="49"/>
      <c r="AV82" s="139"/>
      <c r="AW82" s="141"/>
    </row>
    <row r="83" spans="1:49" ht="19.399999999999999" customHeight="1">
      <c r="A83" s="18" t="s">
        <v>134</v>
      </c>
      <c r="B83" s="18" t="s">
        <v>512</v>
      </c>
      <c r="C83" s="19" t="s">
        <v>127</v>
      </c>
      <c r="D83" s="19" t="s">
        <v>127</v>
      </c>
      <c r="E83" s="19" t="s">
        <v>580</v>
      </c>
      <c r="F83" s="58">
        <v>8</v>
      </c>
      <c r="G83" s="43">
        <v>22</v>
      </c>
      <c r="H83" s="44">
        <v>58.3</v>
      </c>
      <c r="I83" s="44" t="s">
        <v>38</v>
      </c>
      <c r="J83" s="43">
        <v>120</v>
      </c>
      <c r="K83" s="44">
        <v>10.4</v>
      </c>
      <c r="L83" s="44" t="s">
        <v>122</v>
      </c>
      <c r="M83" s="43" t="s">
        <v>115</v>
      </c>
      <c r="N83" s="45">
        <v>15</v>
      </c>
      <c r="O83" s="45">
        <v>3</v>
      </c>
      <c r="P83" s="45">
        <v>1</v>
      </c>
      <c r="Q83" s="45">
        <v>1</v>
      </c>
      <c r="R83" s="46">
        <v>3.9</v>
      </c>
      <c r="S83" s="46">
        <v>4.0999999999999996</v>
      </c>
      <c r="T83" s="46">
        <v>286</v>
      </c>
      <c r="U83" s="47">
        <v>3096</v>
      </c>
      <c r="V83" s="23">
        <v>24</v>
      </c>
      <c r="W83" s="38">
        <v>0</v>
      </c>
      <c r="X83" s="38">
        <v>0</v>
      </c>
      <c r="Y83" s="38">
        <v>24</v>
      </c>
      <c r="Z83" s="38">
        <v>0</v>
      </c>
      <c r="AA83" s="44">
        <v>0</v>
      </c>
      <c r="AB83" s="44">
        <v>0</v>
      </c>
      <c r="AC83" s="52" t="s">
        <v>113</v>
      </c>
      <c r="AD83" s="40">
        <v>231</v>
      </c>
      <c r="AE83" s="40"/>
      <c r="AF83" s="41">
        <v>0</v>
      </c>
      <c r="AG83" s="40">
        <v>0</v>
      </c>
      <c r="AH83" s="38">
        <v>0</v>
      </c>
      <c r="AI83" s="38">
        <v>0</v>
      </c>
      <c r="AJ83" s="38">
        <v>2</v>
      </c>
      <c r="AK83" s="38">
        <v>0</v>
      </c>
      <c r="AL83" s="24">
        <f t="shared" si="1"/>
        <v>2</v>
      </c>
      <c r="AM83" s="12"/>
      <c r="AN83" s="12"/>
      <c r="AO83" s="12"/>
      <c r="AP83" s="12"/>
      <c r="AQ83" s="55">
        <f t="shared" si="10"/>
        <v>256.00000000000011</v>
      </c>
      <c r="AR83" s="38"/>
      <c r="AS83" s="38">
        <v>264</v>
      </c>
      <c r="AT83" s="26"/>
      <c r="AU83" s="49"/>
      <c r="AV83" s="139"/>
      <c r="AW83" s="141"/>
    </row>
    <row r="84" spans="1:49" ht="19.399999999999999" customHeight="1">
      <c r="A84" s="18" t="s">
        <v>134</v>
      </c>
      <c r="B84" s="18" t="s">
        <v>512</v>
      </c>
      <c r="C84" s="19" t="s">
        <v>127</v>
      </c>
      <c r="D84" s="19" t="s">
        <v>127</v>
      </c>
      <c r="E84" s="19" t="s">
        <v>581</v>
      </c>
      <c r="F84" s="58">
        <v>8</v>
      </c>
      <c r="G84" s="43">
        <v>22</v>
      </c>
      <c r="H84" s="44">
        <v>58.3</v>
      </c>
      <c r="I84" s="44" t="s">
        <v>38</v>
      </c>
      <c r="J84" s="43">
        <v>120</v>
      </c>
      <c r="K84" s="44">
        <v>10.4</v>
      </c>
      <c r="L84" s="44" t="s">
        <v>122</v>
      </c>
      <c r="M84" s="43" t="s">
        <v>115</v>
      </c>
      <c r="N84" s="45">
        <v>12</v>
      </c>
      <c r="O84" s="45">
        <v>3</v>
      </c>
      <c r="P84" s="45">
        <v>1</v>
      </c>
      <c r="Q84" s="45">
        <v>1</v>
      </c>
      <c r="R84" s="46">
        <v>3.9</v>
      </c>
      <c r="S84" s="46">
        <v>4.0999999999999996</v>
      </c>
      <c r="T84" s="46">
        <v>286</v>
      </c>
      <c r="U84" s="47">
        <v>3096</v>
      </c>
      <c r="V84" s="23">
        <v>24</v>
      </c>
      <c r="W84" s="38">
        <v>0</v>
      </c>
      <c r="X84" s="38">
        <v>0</v>
      </c>
      <c r="Y84" s="38">
        <v>24</v>
      </c>
      <c r="Z84" s="38">
        <v>0</v>
      </c>
      <c r="AA84" s="44">
        <v>0</v>
      </c>
      <c r="AB84" s="44">
        <v>0</v>
      </c>
      <c r="AC84" s="52" t="s">
        <v>113</v>
      </c>
      <c r="AD84" s="40">
        <v>184</v>
      </c>
      <c r="AE84" s="40"/>
      <c r="AF84" s="41">
        <v>0</v>
      </c>
      <c r="AG84" s="40">
        <v>0</v>
      </c>
      <c r="AH84" s="38">
        <v>0</v>
      </c>
      <c r="AI84" s="38">
        <v>0</v>
      </c>
      <c r="AJ84" s="38">
        <v>1.9</v>
      </c>
      <c r="AK84" s="38">
        <v>0</v>
      </c>
      <c r="AL84" s="24">
        <f t="shared" si="1"/>
        <v>1.9</v>
      </c>
      <c r="AM84" s="12"/>
      <c r="AN84" s="12"/>
      <c r="AO84" s="12"/>
      <c r="AP84" s="12"/>
      <c r="AQ84" s="55">
        <f t="shared" si="10"/>
        <v>254.10000000000011</v>
      </c>
      <c r="AR84" s="38"/>
      <c r="AS84" s="38">
        <v>259</v>
      </c>
      <c r="AT84" s="26"/>
      <c r="AU84" s="49"/>
      <c r="AV84" s="139"/>
      <c r="AW84" s="141"/>
    </row>
    <row r="85" spans="1:49" ht="19.399999999999999" customHeight="1">
      <c r="A85" s="18" t="s">
        <v>134</v>
      </c>
      <c r="B85" s="18" t="s">
        <v>512</v>
      </c>
      <c r="C85" s="19" t="s">
        <v>127</v>
      </c>
      <c r="D85" s="19" t="s">
        <v>127</v>
      </c>
      <c r="E85" s="19" t="s">
        <v>582</v>
      </c>
      <c r="F85" s="58">
        <v>8</v>
      </c>
      <c r="G85" s="43">
        <v>22</v>
      </c>
      <c r="H85" s="44">
        <v>58.3</v>
      </c>
      <c r="I85" s="44" t="s">
        <v>38</v>
      </c>
      <c r="J85" s="43">
        <v>120</v>
      </c>
      <c r="K85" s="44">
        <v>10.4</v>
      </c>
      <c r="L85" s="44" t="s">
        <v>122</v>
      </c>
      <c r="M85" s="43" t="s">
        <v>115</v>
      </c>
      <c r="N85" s="45">
        <v>0</v>
      </c>
      <c r="O85" s="45">
        <v>3</v>
      </c>
      <c r="P85" s="45">
        <v>1</v>
      </c>
      <c r="Q85" s="45">
        <v>1</v>
      </c>
      <c r="R85" s="46">
        <v>3.9</v>
      </c>
      <c r="S85" s="46">
        <v>4.0999999999999996</v>
      </c>
      <c r="T85" s="46">
        <v>286</v>
      </c>
      <c r="U85" s="47">
        <v>3096</v>
      </c>
      <c r="V85" s="23">
        <v>24</v>
      </c>
      <c r="W85" s="38">
        <v>0</v>
      </c>
      <c r="X85" s="38">
        <v>0</v>
      </c>
      <c r="Y85" s="38">
        <v>24</v>
      </c>
      <c r="Z85" s="38">
        <v>0</v>
      </c>
      <c r="AA85" s="44">
        <v>0</v>
      </c>
      <c r="AB85" s="44">
        <v>0</v>
      </c>
      <c r="AC85" s="52" t="s">
        <v>113</v>
      </c>
      <c r="AD85" s="40">
        <v>186</v>
      </c>
      <c r="AE85" s="40"/>
      <c r="AF85" s="40">
        <v>0</v>
      </c>
      <c r="AG85" s="41">
        <v>0</v>
      </c>
      <c r="AH85" s="38">
        <v>0</v>
      </c>
      <c r="AI85" s="38">
        <v>0</v>
      </c>
      <c r="AJ85" s="38">
        <v>1.9</v>
      </c>
      <c r="AK85" s="38">
        <v>0</v>
      </c>
      <c r="AL85" s="24">
        <f t="shared" si="1"/>
        <v>1.9</v>
      </c>
      <c r="AM85" s="12"/>
      <c r="AN85" s="12"/>
      <c r="AO85" s="12"/>
      <c r="AP85" s="12"/>
      <c r="AQ85" s="55">
        <f t="shared" si="10"/>
        <v>252.2000000000001</v>
      </c>
      <c r="AR85" s="38"/>
      <c r="AS85" s="38">
        <v>254</v>
      </c>
      <c r="AT85" s="26"/>
      <c r="AU85" s="49"/>
      <c r="AV85" s="139"/>
      <c r="AW85" s="141"/>
    </row>
    <row r="86" spans="1:49" ht="19.399999999999999" customHeight="1">
      <c r="A86" s="18" t="s">
        <v>134</v>
      </c>
      <c r="B86" s="18" t="s">
        <v>512</v>
      </c>
      <c r="C86" s="19" t="s">
        <v>127</v>
      </c>
      <c r="D86" s="19" t="s">
        <v>127</v>
      </c>
      <c r="E86" s="19" t="s">
        <v>583</v>
      </c>
      <c r="F86" s="58">
        <v>8</v>
      </c>
      <c r="G86" s="43">
        <v>22</v>
      </c>
      <c r="H86" s="44">
        <v>58.3</v>
      </c>
      <c r="I86" s="44" t="s">
        <v>38</v>
      </c>
      <c r="J86" s="43">
        <v>120</v>
      </c>
      <c r="K86" s="44">
        <v>10.4</v>
      </c>
      <c r="L86" s="44" t="s">
        <v>122</v>
      </c>
      <c r="M86" s="43" t="s">
        <v>115</v>
      </c>
      <c r="N86" s="45">
        <v>10</v>
      </c>
      <c r="O86" s="45">
        <v>3</v>
      </c>
      <c r="P86" s="45">
        <v>1</v>
      </c>
      <c r="Q86" s="45">
        <v>1</v>
      </c>
      <c r="R86" s="46">
        <v>3.9</v>
      </c>
      <c r="S86" s="46">
        <v>4.0999999999999996</v>
      </c>
      <c r="T86" s="46">
        <v>286</v>
      </c>
      <c r="U86" s="47">
        <v>3096</v>
      </c>
      <c r="V86" s="23">
        <v>24</v>
      </c>
      <c r="W86" s="38">
        <v>0</v>
      </c>
      <c r="X86" s="38">
        <v>0</v>
      </c>
      <c r="Y86" s="38">
        <v>24</v>
      </c>
      <c r="Z86" s="38">
        <v>0</v>
      </c>
      <c r="AA86" s="44">
        <v>0</v>
      </c>
      <c r="AB86" s="44">
        <v>0</v>
      </c>
      <c r="AC86" s="52" t="s">
        <v>113</v>
      </c>
      <c r="AD86" s="40">
        <v>219</v>
      </c>
      <c r="AE86" s="40"/>
      <c r="AF86" s="40">
        <v>0</v>
      </c>
      <c r="AG86" s="41">
        <v>0</v>
      </c>
      <c r="AH86" s="38">
        <v>0</v>
      </c>
      <c r="AI86" s="38">
        <v>0</v>
      </c>
      <c r="AJ86" s="38">
        <v>2</v>
      </c>
      <c r="AK86" s="38">
        <v>0</v>
      </c>
      <c r="AL86" s="24">
        <f t="shared" si="1"/>
        <v>2</v>
      </c>
      <c r="AM86" s="12"/>
      <c r="AN86" s="12"/>
      <c r="AO86" s="12"/>
      <c r="AP86" s="12"/>
      <c r="AQ86" s="55">
        <f t="shared" si="10"/>
        <v>250.2000000000001</v>
      </c>
      <c r="AR86" s="38"/>
      <c r="AS86" s="38">
        <v>251</v>
      </c>
      <c r="AT86" s="26"/>
      <c r="AU86" s="49"/>
      <c r="AV86" s="139"/>
      <c r="AW86" s="141"/>
    </row>
    <row r="87" spans="1:49" ht="19.399999999999999" customHeight="1">
      <c r="A87" s="18" t="s">
        <v>134</v>
      </c>
      <c r="B87" s="18" t="s">
        <v>512</v>
      </c>
      <c r="C87" s="19" t="s">
        <v>127</v>
      </c>
      <c r="D87" s="19" t="s">
        <v>127</v>
      </c>
      <c r="E87" s="19" t="s">
        <v>584</v>
      </c>
      <c r="F87" s="58">
        <v>8</v>
      </c>
      <c r="G87" s="43">
        <v>22</v>
      </c>
      <c r="H87" s="44">
        <v>58.3</v>
      </c>
      <c r="I87" s="44" t="s">
        <v>38</v>
      </c>
      <c r="J87" s="43">
        <v>120</v>
      </c>
      <c r="K87" s="44">
        <v>10.4</v>
      </c>
      <c r="L87" s="44" t="s">
        <v>122</v>
      </c>
      <c r="M87" s="43" t="s">
        <v>115</v>
      </c>
      <c r="N87" s="45">
        <v>6</v>
      </c>
      <c r="O87" s="45">
        <v>3</v>
      </c>
      <c r="P87" s="45">
        <v>1</v>
      </c>
      <c r="Q87" s="45">
        <v>1</v>
      </c>
      <c r="R87" s="46">
        <v>3.9</v>
      </c>
      <c r="S87" s="46">
        <v>4.0999999999999996</v>
      </c>
      <c r="T87" s="46">
        <v>286</v>
      </c>
      <c r="U87" s="47">
        <v>3096</v>
      </c>
      <c r="V87" s="23">
        <v>24</v>
      </c>
      <c r="W87" s="38">
        <v>0</v>
      </c>
      <c r="X87" s="38">
        <v>0</v>
      </c>
      <c r="Y87" s="38">
        <v>24</v>
      </c>
      <c r="Z87" s="38">
        <v>0</v>
      </c>
      <c r="AA87" s="44">
        <v>0</v>
      </c>
      <c r="AB87" s="44">
        <v>0</v>
      </c>
      <c r="AC87" s="52" t="s">
        <v>113</v>
      </c>
      <c r="AD87" s="19">
        <v>170</v>
      </c>
      <c r="AE87" s="40"/>
      <c r="AF87" s="40">
        <v>0</v>
      </c>
      <c r="AG87" s="41">
        <v>0</v>
      </c>
      <c r="AH87" s="38">
        <v>0</v>
      </c>
      <c r="AI87" s="38">
        <v>0</v>
      </c>
      <c r="AJ87" s="38">
        <v>2</v>
      </c>
      <c r="AK87" s="38">
        <v>0</v>
      </c>
      <c r="AL87" s="24">
        <f t="shared" si="1"/>
        <v>2</v>
      </c>
      <c r="AM87" s="12"/>
      <c r="AN87" s="12"/>
      <c r="AO87" s="12"/>
      <c r="AP87" s="12"/>
      <c r="AQ87" s="55">
        <f t="shared" si="10"/>
        <v>248.2000000000001</v>
      </c>
      <c r="AR87" s="38"/>
      <c r="AS87" s="38">
        <v>246</v>
      </c>
      <c r="AT87" s="26"/>
      <c r="AU87" s="49"/>
      <c r="AV87" s="139"/>
      <c r="AW87" s="141"/>
    </row>
    <row r="88" spans="1:49" ht="19.399999999999999" customHeight="1">
      <c r="A88" s="18" t="s">
        <v>134</v>
      </c>
      <c r="B88" s="18" t="s">
        <v>512</v>
      </c>
      <c r="C88" s="19" t="s">
        <v>127</v>
      </c>
      <c r="D88" s="19" t="s">
        <v>127</v>
      </c>
      <c r="E88" s="19" t="s">
        <v>585</v>
      </c>
      <c r="F88" s="58">
        <v>8</v>
      </c>
      <c r="G88" s="43">
        <v>22</v>
      </c>
      <c r="H88" s="44">
        <v>58.3</v>
      </c>
      <c r="I88" s="44" t="s">
        <v>38</v>
      </c>
      <c r="J88" s="43">
        <v>120</v>
      </c>
      <c r="K88" s="44">
        <v>10.4</v>
      </c>
      <c r="L88" s="44" t="s">
        <v>122</v>
      </c>
      <c r="M88" s="43" t="s">
        <v>115</v>
      </c>
      <c r="N88" s="45">
        <v>12</v>
      </c>
      <c r="O88" s="45">
        <v>2</v>
      </c>
      <c r="P88" s="45">
        <v>1</v>
      </c>
      <c r="Q88" s="45">
        <v>1</v>
      </c>
      <c r="R88" s="46">
        <v>3.9</v>
      </c>
      <c r="S88" s="46">
        <v>4.0999999999999996</v>
      </c>
      <c r="T88" s="46">
        <v>286</v>
      </c>
      <c r="U88" s="47">
        <v>3096</v>
      </c>
      <c r="V88" s="23">
        <v>24</v>
      </c>
      <c r="W88" s="38">
        <v>0</v>
      </c>
      <c r="X88" s="38">
        <v>0</v>
      </c>
      <c r="Y88" s="38">
        <v>24</v>
      </c>
      <c r="Z88" s="38">
        <v>0</v>
      </c>
      <c r="AA88" s="44">
        <v>0</v>
      </c>
      <c r="AB88" s="44">
        <v>0</v>
      </c>
      <c r="AC88" s="52" t="s">
        <v>113</v>
      </c>
      <c r="AD88" s="19">
        <v>223</v>
      </c>
      <c r="AE88" s="40"/>
      <c r="AF88" s="40">
        <v>0</v>
      </c>
      <c r="AG88" s="41">
        <v>0</v>
      </c>
      <c r="AH88" s="38">
        <v>0</v>
      </c>
      <c r="AI88" s="38">
        <v>0</v>
      </c>
      <c r="AJ88" s="38">
        <v>1.7</v>
      </c>
      <c r="AK88" s="38">
        <v>0</v>
      </c>
      <c r="AL88" s="24">
        <f t="shared" si="1"/>
        <v>1.7</v>
      </c>
      <c r="AM88" s="12"/>
      <c r="AN88" s="12"/>
      <c r="AO88" s="12"/>
      <c r="AP88" s="12"/>
      <c r="AQ88" s="55">
        <f t="shared" si="10"/>
        <v>246.50000000000011</v>
      </c>
      <c r="AR88" s="38"/>
      <c r="AS88" s="38">
        <v>240</v>
      </c>
      <c r="AT88" s="26"/>
      <c r="AU88" s="49"/>
      <c r="AV88" s="139"/>
      <c r="AW88" s="141"/>
    </row>
    <row r="89" spans="1:49" ht="19.399999999999999" customHeight="1">
      <c r="A89" s="18" t="s">
        <v>134</v>
      </c>
      <c r="B89" s="18" t="s">
        <v>512</v>
      </c>
      <c r="C89" s="19" t="s">
        <v>127</v>
      </c>
      <c r="D89" s="19" t="s">
        <v>127</v>
      </c>
      <c r="E89" s="19" t="s">
        <v>586</v>
      </c>
      <c r="F89" s="58">
        <v>8</v>
      </c>
      <c r="G89" s="43">
        <v>22</v>
      </c>
      <c r="H89" s="44">
        <v>58.3</v>
      </c>
      <c r="I89" s="44" t="s">
        <v>38</v>
      </c>
      <c r="J89" s="43">
        <v>120</v>
      </c>
      <c r="K89" s="44">
        <v>10.4</v>
      </c>
      <c r="L89" s="44" t="s">
        <v>122</v>
      </c>
      <c r="M89" s="43" t="s">
        <v>115</v>
      </c>
      <c r="N89" s="45">
        <v>10</v>
      </c>
      <c r="O89" s="45">
        <v>3</v>
      </c>
      <c r="P89" s="45">
        <v>1</v>
      </c>
      <c r="Q89" s="45">
        <v>1</v>
      </c>
      <c r="R89" s="46">
        <v>3.9</v>
      </c>
      <c r="S89" s="46">
        <v>4.0999999999999996</v>
      </c>
      <c r="T89" s="46">
        <v>286</v>
      </c>
      <c r="U89" s="47">
        <v>3096</v>
      </c>
      <c r="V89" s="23">
        <v>24</v>
      </c>
      <c r="W89" s="38">
        <v>0</v>
      </c>
      <c r="X89" s="38">
        <v>0</v>
      </c>
      <c r="Y89" s="38">
        <v>24</v>
      </c>
      <c r="Z89" s="38">
        <v>0</v>
      </c>
      <c r="AA89" s="44">
        <v>0</v>
      </c>
      <c r="AB89" s="44">
        <v>0</v>
      </c>
      <c r="AC89" s="52" t="s">
        <v>113</v>
      </c>
      <c r="AD89" s="19">
        <v>233</v>
      </c>
      <c r="AE89" s="40"/>
      <c r="AF89" s="41">
        <v>0</v>
      </c>
      <c r="AG89" s="40">
        <v>0</v>
      </c>
      <c r="AH89" s="38">
        <v>0</v>
      </c>
      <c r="AI89" s="38">
        <v>0</v>
      </c>
      <c r="AJ89" s="38">
        <v>2</v>
      </c>
      <c r="AK89" s="21">
        <v>0</v>
      </c>
      <c r="AL89" s="24">
        <f t="shared" si="1"/>
        <v>2</v>
      </c>
      <c r="AM89" s="12"/>
      <c r="AN89" s="12"/>
      <c r="AO89" s="12"/>
      <c r="AP89" s="12"/>
      <c r="AQ89" s="55">
        <f t="shared" si="10"/>
        <v>244.50000000000011</v>
      </c>
      <c r="AR89" s="38"/>
      <c r="AS89" s="38">
        <v>235</v>
      </c>
      <c r="AT89" s="26"/>
      <c r="AU89" s="49"/>
      <c r="AV89" s="139"/>
      <c r="AW89" s="141"/>
    </row>
    <row r="90" spans="1:49" ht="19.399999999999999" customHeight="1">
      <c r="A90" s="18" t="s">
        <v>134</v>
      </c>
      <c r="B90" s="18" t="s">
        <v>512</v>
      </c>
      <c r="C90" s="19" t="s">
        <v>127</v>
      </c>
      <c r="D90" s="19" t="s">
        <v>127</v>
      </c>
      <c r="E90" s="19" t="s">
        <v>587</v>
      </c>
      <c r="F90" s="58">
        <v>8</v>
      </c>
      <c r="G90" s="43">
        <v>22</v>
      </c>
      <c r="H90" s="44">
        <v>58.3</v>
      </c>
      <c r="I90" s="44" t="s">
        <v>38</v>
      </c>
      <c r="J90" s="43">
        <v>120</v>
      </c>
      <c r="K90" s="44">
        <v>10.4</v>
      </c>
      <c r="L90" s="44" t="s">
        <v>122</v>
      </c>
      <c r="M90" s="43" t="s">
        <v>115</v>
      </c>
      <c r="N90" s="45">
        <v>10</v>
      </c>
      <c r="O90" s="45">
        <v>3</v>
      </c>
      <c r="P90" s="45">
        <v>1</v>
      </c>
      <c r="Q90" s="45">
        <v>1</v>
      </c>
      <c r="R90" s="46">
        <v>3.9</v>
      </c>
      <c r="S90" s="46">
        <v>4.0999999999999996</v>
      </c>
      <c r="T90" s="46">
        <v>286</v>
      </c>
      <c r="U90" s="47">
        <v>3096</v>
      </c>
      <c r="V90" s="23">
        <v>24</v>
      </c>
      <c r="W90" s="38">
        <v>0</v>
      </c>
      <c r="X90" s="38">
        <v>0</v>
      </c>
      <c r="Y90" s="38">
        <v>24</v>
      </c>
      <c r="Z90" s="38">
        <v>0</v>
      </c>
      <c r="AA90" s="44">
        <v>0</v>
      </c>
      <c r="AB90" s="44">
        <v>0</v>
      </c>
      <c r="AC90" s="52" t="s">
        <v>113</v>
      </c>
      <c r="AD90" s="19">
        <v>211</v>
      </c>
      <c r="AE90" s="40"/>
      <c r="AF90" s="41">
        <v>0</v>
      </c>
      <c r="AG90" s="40">
        <v>0</v>
      </c>
      <c r="AH90" s="38">
        <v>0</v>
      </c>
      <c r="AI90" s="38">
        <v>0</v>
      </c>
      <c r="AJ90" s="21">
        <v>2</v>
      </c>
      <c r="AK90" s="21">
        <v>0</v>
      </c>
      <c r="AL90" s="24">
        <f t="shared" si="1"/>
        <v>2</v>
      </c>
      <c r="AM90" s="12"/>
      <c r="AN90" s="12"/>
      <c r="AO90" s="12"/>
      <c r="AP90" s="12"/>
      <c r="AQ90" s="55">
        <f t="shared" si="10"/>
        <v>242.50000000000011</v>
      </c>
      <c r="AR90" s="38"/>
      <c r="AS90" s="38">
        <v>230</v>
      </c>
      <c r="AT90" s="26"/>
      <c r="AU90" s="49"/>
      <c r="AV90" s="136"/>
      <c r="AW90" s="137"/>
    </row>
    <row r="91" spans="1:49" ht="19.399999999999999" customHeight="1">
      <c r="A91" s="18" t="s">
        <v>134</v>
      </c>
      <c r="B91" s="18" t="s">
        <v>512</v>
      </c>
      <c r="C91" s="19" t="s">
        <v>127</v>
      </c>
      <c r="D91" s="19" t="s">
        <v>127</v>
      </c>
      <c r="E91" s="19" t="s">
        <v>588</v>
      </c>
      <c r="F91" s="58">
        <v>8</v>
      </c>
      <c r="G91" s="43">
        <v>22</v>
      </c>
      <c r="H91" s="44">
        <v>58.3</v>
      </c>
      <c r="I91" s="44" t="s">
        <v>38</v>
      </c>
      <c r="J91" s="43">
        <v>120</v>
      </c>
      <c r="K91" s="44">
        <v>10.4</v>
      </c>
      <c r="L91" s="44" t="s">
        <v>122</v>
      </c>
      <c r="M91" s="43" t="s">
        <v>115</v>
      </c>
      <c r="N91" s="45">
        <v>15</v>
      </c>
      <c r="O91" s="45">
        <v>3</v>
      </c>
      <c r="P91" s="45">
        <v>1</v>
      </c>
      <c r="Q91" s="45">
        <v>1</v>
      </c>
      <c r="R91" s="46">
        <v>3.9</v>
      </c>
      <c r="S91" s="46">
        <v>4.0999999999999996</v>
      </c>
      <c r="T91" s="46">
        <v>286</v>
      </c>
      <c r="U91" s="47">
        <v>3096</v>
      </c>
      <c r="V91" s="23">
        <v>24</v>
      </c>
      <c r="W91" s="38">
        <v>0</v>
      </c>
      <c r="X91" s="38">
        <v>0</v>
      </c>
      <c r="Y91" s="38">
        <v>24</v>
      </c>
      <c r="Z91" s="38">
        <v>0</v>
      </c>
      <c r="AA91" s="44">
        <v>0</v>
      </c>
      <c r="AB91" s="44">
        <v>0</v>
      </c>
      <c r="AC91" s="52" t="s">
        <v>113</v>
      </c>
      <c r="AD91" s="25">
        <v>232</v>
      </c>
      <c r="AE91" s="41"/>
      <c r="AF91" s="25">
        <v>0</v>
      </c>
      <c r="AG91" s="41">
        <v>0</v>
      </c>
      <c r="AH91" s="56">
        <v>0</v>
      </c>
      <c r="AI91" s="56">
        <v>0</v>
      </c>
      <c r="AJ91" s="57">
        <v>2</v>
      </c>
      <c r="AK91" s="57">
        <v>0</v>
      </c>
      <c r="AL91" s="24">
        <f t="shared" si="1"/>
        <v>2</v>
      </c>
      <c r="AM91" s="55"/>
      <c r="AN91" s="55"/>
      <c r="AO91" s="55"/>
      <c r="AP91" s="55"/>
      <c r="AQ91" s="55">
        <f t="shared" si="10"/>
        <v>240.50000000000011</v>
      </c>
      <c r="AR91" s="38"/>
      <c r="AS91" s="38">
        <v>225</v>
      </c>
      <c r="AT91" s="26"/>
      <c r="AU91" s="49"/>
      <c r="AV91" s="136"/>
      <c r="AW91" s="137"/>
    </row>
    <row r="92" spans="1:49" ht="19.399999999999999" customHeight="1">
      <c r="A92" s="18" t="s">
        <v>134</v>
      </c>
      <c r="B92" s="18" t="s">
        <v>512</v>
      </c>
      <c r="C92" s="19" t="s">
        <v>127</v>
      </c>
      <c r="D92" s="19" t="s">
        <v>127</v>
      </c>
      <c r="E92" s="19" t="s">
        <v>589</v>
      </c>
      <c r="F92" s="58">
        <v>8</v>
      </c>
      <c r="G92" s="43">
        <v>22</v>
      </c>
      <c r="H92" s="44">
        <v>58.3</v>
      </c>
      <c r="I92" s="44" t="s">
        <v>38</v>
      </c>
      <c r="J92" s="43">
        <v>120</v>
      </c>
      <c r="K92" s="44">
        <v>10.4</v>
      </c>
      <c r="L92" s="44" t="s">
        <v>122</v>
      </c>
      <c r="M92" s="43" t="s">
        <v>115</v>
      </c>
      <c r="N92" s="45">
        <v>12</v>
      </c>
      <c r="O92" s="45">
        <v>3</v>
      </c>
      <c r="P92" s="45">
        <v>1</v>
      </c>
      <c r="Q92" s="45">
        <v>1</v>
      </c>
      <c r="R92" s="46">
        <v>3.9</v>
      </c>
      <c r="S92" s="46">
        <v>4.0999999999999996</v>
      </c>
      <c r="T92" s="46">
        <v>286</v>
      </c>
      <c r="U92" s="47">
        <v>3096</v>
      </c>
      <c r="V92" s="23">
        <v>24</v>
      </c>
      <c r="W92" s="38">
        <v>0</v>
      </c>
      <c r="X92" s="38">
        <v>0</v>
      </c>
      <c r="Y92" s="38">
        <v>24</v>
      </c>
      <c r="Z92" s="38">
        <v>0</v>
      </c>
      <c r="AA92" s="44">
        <v>0</v>
      </c>
      <c r="AB92" s="44">
        <v>0</v>
      </c>
      <c r="AC92" s="52" t="s">
        <v>113</v>
      </c>
      <c r="AD92" s="19">
        <v>178</v>
      </c>
      <c r="AE92" s="40"/>
      <c r="AF92" s="25">
        <v>0</v>
      </c>
      <c r="AG92" s="40">
        <v>0</v>
      </c>
      <c r="AH92" s="38">
        <v>0</v>
      </c>
      <c r="AI92" s="38">
        <v>0</v>
      </c>
      <c r="AJ92" s="21">
        <v>2</v>
      </c>
      <c r="AK92" s="21">
        <v>0</v>
      </c>
      <c r="AL92" s="24">
        <f t="shared" si="1"/>
        <v>2</v>
      </c>
      <c r="AM92" s="12"/>
      <c r="AN92" s="12"/>
      <c r="AO92" s="12"/>
      <c r="AP92" s="12"/>
      <c r="AQ92" s="55">
        <f t="shared" si="10"/>
        <v>238.50000000000011</v>
      </c>
      <c r="AR92" s="38"/>
      <c r="AS92" s="38">
        <v>221</v>
      </c>
      <c r="AT92" s="26"/>
      <c r="AU92" s="49"/>
      <c r="AV92" s="136"/>
      <c r="AW92" s="137"/>
    </row>
    <row r="93" spans="1:49" ht="19.399999999999999" customHeight="1">
      <c r="A93" s="18" t="s">
        <v>134</v>
      </c>
      <c r="B93" s="18" t="s">
        <v>512</v>
      </c>
      <c r="C93" s="19" t="s">
        <v>127</v>
      </c>
      <c r="D93" s="19" t="s">
        <v>127</v>
      </c>
      <c r="E93" s="19" t="s">
        <v>590</v>
      </c>
      <c r="F93" s="58">
        <v>8</v>
      </c>
      <c r="G93" s="43">
        <v>22</v>
      </c>
      <c r="H93" s="44">
        <v>58.3</v>
      </c>
      <c r="I93" s="44" t="s">
        <v>38</v>
      </c>
      <c r="J93" s="43">
        <v>120</v>
      </c>
      <c r="K93" s="44">
        <v>10.4</v>
      </c>
      <c r="L93" s="44" t="s">
        <v>122</v>
      </c>
      <c r="M93" s="43" t="s">
        <v>115</v>
      </c>
      <c r="N93" s="45">
        <v>12</v>
      </c>
      <c r="O93" s="45">
        <v>3</v>
      </c>
      <c r="P93" s="45">
        <v>1</v>
      </c>
      <c r="Q93" s="45">
        <v>1</v>
      </c>
      <c r="R93" s="46">
        <v>3.9</v>
      </c>
      <c r="S93" s="46">
        <v>4.0999999999999996</v>
      </c>
      <c r="T93" s="46">
        <v>286</v>
      </c>
      <c r="U93" s="47">
        <v>3096</v>
      </c>
      <c r="V93" s="23">
        <v>24</v>
      </c>
      <c r="W93" s="38">
        <v>0</v>
      </c>
      <c r="X93" s="38">
        <v>0</v>
      </c>
      <c r="Y93" s="38">
        <v>24</v>
      </c>
      <c r="Z93" s="38">
        <v>0</v>
      </c>
      <c r="AA93" s="44">
        <v>0</v>
      </c>
      <c r="AB93" s="44">
        <v>0</v>
      </c>
      <c r="AC93" s="52" t="s">
        <v>113</v>
      </c>
      <c r="AD93" s="19">
        <v>193</v>
      </c>
      <c r="AE93" s="40"/>
      <c r="AF93" s="25">
        <v>0</v>
      </c>
      <c r="AG93" s="40">
        <v>0</v>
      </c>
      <c r="AH93" s="38">
        <v>0</v>
      </c>
      <c r="AI93" s="38">
        <v>0</v>
      </c>
      <c r="AJ93" s="21">
        <v>1.7</v>
      </c>
      <c r="AK93" s="21">
        <v>0</v>
      </c>
      <c r="AL93" s="24">
        <f t="shared" si="1"/>
        <v>1.7</v>
      </c>
      <c r="AM93" s="12"/>
      <c r="AN93" s="12"/>
      <c r="AO93" s="12"/>
      <c r="AP93" s="12"/>
      <c r="AQ93" s="55">
        <f t="shared" si="10"/>
        <v>236.80000000000013</v>
      </c>
      <c r="AR93" s="21"/>
      <c r="AS93" s="12">
        <v>216</v>
      </c>
      <c r="AT93" s="26"/>
      <c r="AU93" s="49"/>
      <c r="AV93" s="136"/>
      <c r="AW93" s="137"/>
    </row>
    <row r="94" spans="1:49" ht="19.399999999999999" customHeight="1">
      <c r="A94" s="18" t="s">
        <v>134</v>
      </c>
      <c r="B94" s="18" t="s">
        <v>512</v>
      </c>
      <c r="C94" s="19" t="s">
        <v>127</v>
      </c>
      <c r="D94" s="19" t="s">
        <v>127</v>
      </c>
      <c r="E94" s="19" t="s">
        <v>591</v>
      </c>
      <c r="F94" s="58">
        <v>8</v>
      </c>
      <c r="G94" s="43">
        <v>22</v>
      </c>
      <c r="H94" s="44">
        <v>58.3</v>
      </c>
      <c r="I94" s="44" t="s">
        <v>38</v>
      </c>
      <c r="J94" s="43">
        <v>120</v>
      </c>
      <c r="K94" s="44">
        <v>10.4</v>
      </c>
      <c r="L94" s="44" t="s">
        <v>122</v>
      </c>
      <c r="M94" s="43" t="s">
        <v>115</v>
      </c>
      <c r="N94" s="45">
        <v>10</v>
      </c>
      <c r="O94" s="45">
        <v>2</v>
      </c>
      <c r="P94" s="45">
        <v>1</v>
      </c>
      <c r="Q94" s="45">
        <v>1</v>
      </c>
      <c r="R94" s="46">
        <v>3.9</v>
      </c>
      <c r="S94" s="46">
        <v>4.0999999999999996</v>
      </c>
      <c r="T94" s="46">
        <v>286</v>
      </c>
      <c r="U94" s="47">
        <v>3096</v>
      </c>
      <c r="V94" s="23">
        <v>24</v>
      </c>
      <c r="W94" s="38">
        <v>0</v>
      </c>
      <c r="X94" s="38">
        <v>0</v>
      </c>
      <c r="Y94" s="38">
        <v>24</v>
      </c>
      <c r="Z94" s="38">
        <v>0</v>
      </c>
      <c r="AA94" s="44">
        <v>0</v>
      </c>
      <c r="AB94" s="44">
        <v>0</v>
      </c>
      <c r="AC94" s="52" t="s">
        <v>113</v>
      </c>
      <c r="AD94" s="25">
        <v>231</v>
      </c>
      <c r="AE94" s="41"/>
      <c r="AF94" s="25">
        <v>0</v>
      </c>
      <c r="AG94" s="25">
        <v>0</v>
      </c>
      <c r="AH94" s="56">
        <v>0</v>
      </c>
      <c r="AI94" s="56">
        <v>0</v>
      </c>
      <c r="AJ94" s="57">
        <v>1.9</v>
      </c>
      <c r="AK94" s="57">
        <v>0</v>
      </c>
      <c r="AL94" s="24">
        <f t="shared" si="1"/>
        <v>1.9</v>
      </c>
      <c r="AM94" s="55"/>
      <c r="AN94" s="55"/>
      <c r="AO94" s="55"/>
      <c r="AP94" s="55"/>
      <c r="AQ94" s="55">
        <f t="shared" si="10"/>
        <v>234.90000000000012</v>
      </c>
      <c r="AR94" s="21"/>
      <c r="AS94" s="55">
        <v>213</v>
      </c>
      <c r="AT94" s="26"/>
      <c r="AU94" s="49"/>
      <c r="AV94" s="136"/>
      <c r="AW94" s="137"/>
    </row>
    <row r="95" spans="1:49" ht="19.399999999999999" customHeight="1">
      <c r="A95" s="18" t="s">
        <v>134</v>
      </c>
      <c r="B95" s="18" t="s">
        <v>512</v>
      </c>
      <c r="C95" s="19" t="s">
        <v>127</v>
      </c>
      <c r="D95" s="19" t="s">
        <v>127</v>
      </c>
      <c r="E95" s="19" t="s">
        <v>592</v>
      </c>
      <c r="F95" s="58">
        <v>8</v>
      </c>
      <c r="G95" s="43">
        <v>22</v>
      </c>
      <c r="H95" s="44">
        <v>58.3</v>
      </c>
      <c r="I95" s="44" t="s">
        <v>38</v>
      </c>
      <c r="J95" s="43">
        <v>120</v>
      </c>
      <c r="K95" s="44">
        <v>10.4</v>
      </c>
      <c r="L95" s="44" t="s">
        <v>122</v>
      </c>
      <c r="M95" s="43" t="s">
        <v>115</v>
      </c>
      <c r="N95" s="45">
        <v>0</v>
      </c>
      <c r="O95" s="45">
        <v>3</v>
      </c>
      <c r="P95" s="45">
        <v>1</v>
      </c>
      <c r="Q95" s="45">
        <v>1</v>
      </c>
      <c r="R95" s="46">
        <v>3.9</v>
      </c>
      <c r="S95" s="46">
        <v>4.0999999999999996</v>
      </c>
      <c r="T95" s="46">
        <v>286</v>
      </c>
      <c r="U95" s="47">
        <v>3096</v>
      </c>
      <c r="V95" s="23">
        <v>24</v>
      </c>
      <c r="W95" s="38">
        <v>0</v>
      </c>
      <c r="X95" s="38">
        <v>0</v>
      </c>
      <c r="Y95" s="38">
        <v>24</v>
      </c>
      <c r="Z95" s="38">
        <v>0</v>
      </c>
      <c r="AA95" s="44">
        <v>0</v>
      </c>
      <c r="AB95" s="44">
        <v>0</v>
      </c>
      <c r="AC95" s="52" t="s">
        <v>113</v>
      </c>
      <c r="AD95" s="19">
        <v>144</v>
      </c>
      <c r="AE95" s="40"/>
      <c r="AF95" s="25">
        <v>0</v>
      </c>
      <c r="AG95" s="19">
        <v>0</v>
      </c>
      <c r="AH95" s="38">
        <v>0</v>
      </c>
      <c r="AI95" s="38">
        <v>0</v>
      </c>
      <c r="AJ95" s="21">
        <v>1.3</v>
      </c>
      <c r="AK95" s="21">
        <v>0</v>
      </c>
      <c r="AL95" s="24">
        <f t="shared" si="1"/>
        <v>1.3</v>
      </c>
      <c r="AM95" s="12"/>
      <c r="AN95" s="12"/>
      <c r="AO95" s="12"/>
      <c r="AP95" s="12"/>
      <c r="AQ95" s="55">
        <f t="shared" si="10"/>
        <v>233.60000000000011</v>
      </c>
      <c r="AR95" s="21"/>
      <c r="AS95" s="12">
        <v>209</v>
      </c>
      <c r="AT95" s="26"/>
      <c r="AU95" s="49"/>
      <c r="AV95" s="136"/>
      <c r="AW95" s="137"/>
    </row>
    <row r="96" spans="1:49" ht="19.399999999999999" customHeight="1">
      <c r="A96" s="18" t="s">
        <v>134</v>
      </c>
      <c r="B96" s="18" t="s">
        <v>593</v>
      </c>
      <c r="C96" s="19" t="s">
        <v>127</v>
      </c>
      <c r="D96" s="19" t="s">
        <v>127</v>
      </c>
      <c r="E96" s="19" t="s">
        <v>594</v>
      </c>
      <c r="F96" s="58">
        <v>8</v>
      </c>
      <c r="G96" s="43">
        <v>22</v>
      </c>
      <c r="H96" s="44">
        <v>58.6</v>
      </c>
      <c r="I96" s="44" t="s">
        <v>38</v>
      </c>
      <c r="J96" s="43">
        <v>120</v>
      </c>
      <c r="K96" s="44">
        <v>10.5</v>
      </c>
      <c r="L96" s="44" t="s">
        <v>122</v>
      </c>
      <c r="M96" s="43" t="s">
        <v>115</v>
      </c>
      <c r="N96" s="45">
        <v>0</v>
      </c>
      <c r="O96" s="45">
        <v>2</v>
      </c>
      <c r="P96" s="45">
        <v>1</v>
      </c>
      <c r="Q96" s="45">
        <v>1</v>
      </c>
      <c r="R96" s="46">
        <v>3.95</v>
      </c>
      <c r="S96" s="46">
        <v>4.2</v>
      </c>
      <c r="T96" s="46">
        <v>286</v>
      </c>
      <c r="U96" s="47">
        <v>3096</v>
      </c>
      <c r="V96" s="23">
        <v>24</v>
      </c>
      <c r="W96" s="38">
        <v>0</v>
      </c>
      <c r="X96" s="38">
        <v>0.8</v>
      </c>
      <c r="Y96" s="38">
        <v>23.2</v>
      </c>
      <c r="Z96" s="38">
        <v>0</v>
      </c>
      <c r="AA96" s="44">
        <v>0.4</v>
      </c>
      <c r="AB96" s="44">
        <v>0</v>
      </c>
      <c r="AC96" s="52" t="s">
        <v>113</v>
      </c>
      <c r="AD96" s="19">
        <v>166</v>
      </c>
      <c r="AE96" s="40"/>
      <c r="AF96" s="25">
        <v>0</v>
      </c>
      <c r="AG96" s="19">
        <v>0</v>
      </c>
      <c r="AH96" s="38">
        <v>0.2</v>
      </c>
      <c r="AI96" s="38">
        <v>0.1</v>
      </c>
      <c r="AJ96" s="21">
        <v>1</v>
      </c>
      <c r="AK96" s="21">
        <v>0</v>
      </c>
      <c r="AL96" s="24">
        <f t="shared" si="1"/>
        <v>1.3</v>
      </c>
      <c r="AM96" s="12"/>
      <c r="AN96" s="12"/>
      <c r="AO96" s="12"/>
      <c r="AP96" s="12"/>
      <c r="AQ96" s="55">
        <f t="shared" si="10"/>
        <v>232.3000000000001</v>
      </c>
      <c r="AR96" s="21"/>
      <c r="AS96" s="12">
        <v>204</v>
      </c>
      <c r="AT96" s="26"/>
      <c r="AU96" s="49"/>
      <c r="AV96" s="142"/>
      <c r="AW96" s="137"/>
    </row>
    <row r="97" spans="1:49" ht="19.399999999999999" customHeight="1">
      <c r="A97" s="18" t="s">
        <v>134</v>
      </c>
      <c r="B97" s="18" t="s">
        <v>593</v>
      </c>
      <c r="C97" s="19" t="s">
        <v>127</v>
      </c>
      <c r="D97" s="19" t="s">
        <v>127</v>
      </c>
      <c r="E97" s="19" t="s">
        <v>595</v>
      </c>
      <c r="F97" s="58">
        <v>8</v>
      </c>
      <c r="G97" s="43">
        <v>22</v>
      </c>
      <c r="H97" s="44">
        <v>58.6</v>
      </c>
      <c r="I97" s="44" t="s">
        <v>38</v>
      </c>
      <c r="J97" s="43">
        <v>120</v>
      </c>
      <c r="K97" s="44">
        <v>10.5</v>
      </c>
      <c r="L97" s="44" t="s">
        <v>122</v>
      </c>
      <c r="M97" s="43" t="s">
        <v>115</v>
      </c>
      <c r="N97" s="45">
        <v>0</v>
      </c>
      <c r="O97" s="45">
        <v>2</v>
      </c>
      <c r="P97" s="45">
        <v>1</v>
      </c>
      <c r="Q97" s="45">
        <v>1</v>
      </c>
      <c r="R97" s="46">
        <v>3.95</v>
      </c>
      <c r="S97" s="46">
        <v>4.2</v>
      </c>
      <c r="T97" s="46">
        <v>286</v>
      </c>
      <c r="U97" s="47">
        <v>3096</v>
      </c>
      <c r="V97" s="23">
        <v>24</v>
      </c>
      <c r="W97" s="38">
        <v>0</v>
      </c>
      <c r="X97" s="38">
        <v>0</v>
      </c>
      <c r="Y97" s="38">
        <v>24</v>
      </c>
      <c r="Z97" s="38">
        <v>0</v>
      </c>
      <c r="AA97" s="44">
        <v>0</v>
      </c>
      <c r="AB97" s="44">
        <v>0</v>
      </c>
      <c r="AC97" s="52" t="s">
        <v>113</v>
      </c>
      <c r="AD97" s="40">
        <v>158</v>
      </c>
      <c r="AE97" s="40"/>
      <c r="AF97" s="41">
        <v>0</v>
      </c>
      <c r="AG97" s="40">
        <v>0</v>
      </c>
      <c r="AH97" s="38">
        <v>0</v>
      </c>
      <c r="AI97" s="38">
        <v>0</v>
      </c>
      <c r="AJ97" s="38">
        <v>1.4</v>
      </c>
      <c r="AK97" s="38">
        <v>0</v>
      </c>
      <c r="AL97" s="54">
        <f t="shared" si="1"/>
        <v>1.4</v>
      </c>
      <c r="AM97" s="12"/>
      <c r="AN97" s="12"/>
      <c r="AO97" s="12"/>
      <c r="AP97" s="12"/>
      <c r="AQ97" s="55">
        <f t="shared" si="10"/>
        <v>230.90000000000009</v>
      </c>
      <c r="AR97" s="21"/>
      <c r="AS97" s="12">
        <v>200</v>
      </c>
      <c r="AT97" s="26"/>
      <c r="AU97" s="49"/>
      <c r="AV97" s="142"/>
      <c r="AW97" s="137"/>
    </row>
    <row r="98" spans="1:49" ht="19.399999999999999" customHeight="1">
      <c r="A98" s="18" t="s">
        <v>134</v>
      </c>
      <c r="B98" s="18" t="s">
        <v>593</v>
      </c>
      <c r="C98" s="19" t="s">
        <v>127</v>
      </c>
      <c r="D98" s="19" t="s">
        <v>127</v>
      </c>
      <c r="E98" s="19" t="s">
        <v>596</v>
      </c>
      <c r="F98" s="58">
        <v>8</v>
      </c>
      <c r="G98" s="43">
        <v>22</v>
      </c>
      <c r="H98" s="44">
        <v>58.6</v>
      </c>
      <c r="I98" s="44" t="s">
        <v>38</v>
      </c>
      <c r="J98" s="43">
        <v>120</v>
      </c>
      <c r="K98" s="44">
        <v>10.5</v>
      </c>
      <c r="L98" s="44" t="s">
        <v>122</v>
      </c>
      <c r="M98" s="43" t="s">
        <v>115</v>
      </c>
      <c r="N98" s="45">
        <v>0</v>
      </c>
      <c r="O98" s="45">
        <v>2</v>
      </c>
      <c r="P98" s="45">
        <v>1</v>
      </c>
      <c r="Q98" s="45">
        <v>1</v>
      </c>
      <c r="R98" s="46">
        <v>3.95</v>
      </c>
      <c r="S98" s="46">
        <v>4.2</v>
      </c>
      <c r="T98" s="46">
        <v>286</v>
      </c>
      <c r="U98" s="47">
        <v>3096</v>
      </c>
      <c r="V98" s="23">
        <v>24</v>
      </c>
      <c r="W98" s="38">
        <v>0</v>
      </c>
      <c r="X98" s="38">
        <v>0</v>
      </c>
      <c r="Y98" s="38">
        <v>24</v>
      </c>
      <c r="Z98" s="38">
        <v>0</v>
      </c>
      <c r="AA98" s="44">
        <v>0</v>
      </c>
      <c r="AB98" s="44">
        <v>0</v>
      </c>
      <c r="AC98" s="52" t="s">
        <v>113</v>
      </c>
      <c r="AD98" s="40">
        <v>160</v>
      </c>
      <c r="AE98" s="40"/>
      <c r="AF98" s="41">
        <v>0</v>
      </c>
      <c r="AG98" s="40">
        <v>0</v>
      </c>
      <c r="AH98" s="38">
        <v>0</v>
      </c>
      <c r="AI98" s="38">
        <v>0</v>
      </c>
      <c r="AJ98" s="38">
        <v>1.4</v>
      </c>
      <c r="AK98" s="38">
        <v>0</v>
      </c>
      <c r="AL98" s="54">
        <f t="shared" si="1"/>
        <v>1.4</v>
      </c>
      <c r="AM98" s="12"/>
      <c r="AN98" s="12"/>
      <c r="AO98" s="12"/>
      <c r="AP98" s="12"/>
      <c r="AQ98" s="55">
        <f t="shared" si="10"/>
        <v>229.50000000000009</v>
      </c>
      <c r="AR98" s="21"/>
      <c r="AS98" s="12">
        <v>197</v>
      </c>
      <c r="AT98" s="26"/>
      <c r="AU98" s="49"/>
      <c r="AV98" s="142"/>
      <c r="AW98" s="137"/>
    </row>
    <row r="99" spans="1:49" ht="19.399999999999999" customHeight="1">
      <c r="A99" s="18" t="s">
        <v>134</v>
      </c>
      <c r="B99" s="18" t="s">
        <v>593</v>
      </c>
      <c r="C99" s="19" t="s">
        <v>127</v>
      </c>
      <c r="D99" s="19" t="s">
        <v>127</v>
      </c>
      <c r="E99" s="19" t="s">
        <v>597</v>
      </c>
      <c r="F99" s="58">
        <v>8</v>
      </c>
      <c r="G99" s="43">
        <v>22</v>
      </c>
      <c r="H99" s="44">
        <v>58.6</v>
      </c>
      <c r="I99" s="44" t="s">
        <v>38</v>
      </c>
      <c r="J99" s="43">
        <v>120</v>
      </c>
      <c r="K99" s="44">
        <v>10.5</v>
      </c>
      <c r="L99" s="44" t="s">
        <v>122</v>
      </c>
      <c r="M99" s="43" t="s">
        <v>115</v>
      </c>
      <c r="N99" s="45">
        <v>0</v>
      </c>
      <c r="O99" s="45">
        <v>2</v>
      </c>
      <c r="P99" s="45">
        <v>1</v>
      </c>
      <c r="Q99" s="45">
        <v>1</v>
      </c>
      <c r="R99" s="46">
        <v>3.95</v>
      </c>
      <c r="S99" s="46">
        <v>4.2</v>
      </c>
      <c r="T99" s="46">
        <v>286</v>
      </c>
      <c r="U99" s="47">
        <v>3096</v>
      </c>
      <c r="V99" s="23">
        <v>24</v>
      </c>
      <c r="W99" s="38">
        <v>0</v>
      </c>
      <c r="X99" s="38">
        <v>0</v>
      </c>
      <c r="Y99" s="38">
        <v>24</v>
      </c>
      <c r="Z99" s="38">
        <v>0</v>
      </c>
      <c r="AA99" s="44">
        <v>0</v>
      </c>
      <c r="AB99" s="44">
        <v>0</v>
      </c>
      <c r="AC99" s="52" t="s">
        <v>113</v>
      </c>
      <c r="AD99" s="19">
        <v>171</v>
      </c>
      <c r="AE99" s="40"/>
      <c r="AF99" s="25">
        <v>0</v>
      </c>
      <c r="AG99" s="19">
        <v>0</v>
      </c>
      <c r="AH99" s="12">
        <v>0</v>
      </c>
      <c r="AI99" s="21">
        <v>0</v>
      </c>
      <c r="AJ99" s="21">
        <v>1.6</v>
      </c>
      <c r="AK99" s="21">
        <v>0</v>
      </c>
      <c r="AL99" s="24">
        <f t="shared" si="1"/>
        <v>1.6</v>
      </c>
      <c r="AM99" s="12"/>
      <c r="AN99" s="12"/>
      <c r="AO99" s="12"/>
      <c r="AP99" s="12"/>
      <c r="AQ99" s="55">
        <f t="shared" si="10"/>
        <v>227.90000000000009</v>
      </c>
      <c r="AR99" s="21"/>
      <c r="AS99" s="12">
        <v>194</v>
      </c>
      <c r="AT99" s="26"/>
      <c r="AU99" s="49"/>
      <c r="AV99" s="136"/>
      <c r="AW99" s="137"/>
    </row>
    <row r="100" spans="1:49" ht="19.399999999999999" customHeight="1">
      <c r="A100" s="18" t="s">
        <v>134</v>
      </c>
      <c r="B100" s="18" t="s">
        <v>593</v>
      </c>
      <c r="C100" s="19" t="s">
        <v>127</v>
      </c>
      <c r="D100" s="19" t="s">
        <v>127</v>
      </c>
      <c r="E100" s="19" t="s">
        <v>598</v>
      </c>
      <c r="F100" s="58">
        <v>8</v>
      </c>
      <c r="G100" s="43">
        <v>22</v>
      </c>
      <c r="H100" s="44">
        <v>58.6</v>
      </c>
      <c r="I100" s="44" t="s">
        <v>38</v>
      </c>
      <c r="J100" s="43">
        <v>120</v>
      </c>
      <c r="K100" s="44">
        <v>10.5</v>
      </c>
      <c r="L100" s="44" t="s">
        <v>122</v>
      </c>
      <c r="M100" s="43" t="s">
        <v>115</v>
      </c>
      <c r="N100" s="45">
        <v>0</v>
      </c>
      <c r="O100" s="45">
        <v>2</v>
      </c>
      <c r="P100" s="45">
        <v>1</v>
      </c>
      <c r="Q100" s="45">
        <v>1</v>
      </c>
      <c r="R100" s="46">
        <v>3.95</v>
      </c>
      <c r="S100" s="46">
        <v>4.2</v>
      </c>
      <c r="T100" s="46">
        <v>286</v>
      </c>
      <c r="U100" s="47">
        <v>3096</v>
      </c>
      <c r="V100" s="23">
        <v>24</v>
      </c>
      <c r="W100" s="38">
        <v>0</v>
      </c>
      <c r="X100" s="38">
        <v>0</v>
      </c>
      <c r="Y100" s="38">
        <v>24</v>
      </c>
      <c r="Z100" s="38">
        <v>0</v>
      </c>
      <c r="AA100" s="44">
        <v>0</v>
      </c>
      <c r="AB100" s="44">
        <v>0</v>
      </c>
      <c r="AC100" s="52" t="s">
        <v>113</v>
      </c>
      <c r="AD100" s="19">
        <v>229</v>
      </c>
      <c r="AE100" s="48"/>
      <c r="AF100" s="40">
        <v>0</v>
      </c>
      <c r="AG100" s="19">
        <v>0</v>
      </c>
      <c r="AH100" s="21">
        <v>0</v>
      </c>
      <c r="AI100" s="21">
        <v>0</v>
      </c>
      <c r="AJ100" s="21">
        <v>1.8</v>
      </c>
      <c r="AK100" s="21">
        <v>0</v>
      </c>
      <c r="AL100" s="24">
        <f t="shared" si="1"/>
        <v>1.8</v>
      </c>
      <c r="AM100" s="12"/>
      <c r="AN100" s="12"/>
      <c r="AO100" s="12"/>
      <c r="AP100" s="12"/>
      <c r="AQ100" s="55">
        <f>SUM(AQ99-AL100)</f>
        <v>226.10000000000008</v>
      </c>
      <c r="AR100" s="21"/>
      <c r="AS100" s="12">
        <v>190</v>
      </c>
      <c r="AT100" s="26"/>
      <c r="AU100" s="49"/>
      <c r="AV100" s="136"/>
      <c r="AW100" s="137"/>
    </row>
    <row r="101" spans="1:49" customFormat="1">
      <c r="A101" s="7"/>
      <c r="B101" s="7"/>
      <c r="C101" s="7"/>
      <c r="D101" s="7"/>
      <c r="E101" s="8"/>
      <c r="F101" s="8"/>
      <c r="G101" s="10"/>
      <c r="H101" s="9"/>
      <c r="I101" s="9"/>
      <c r="J101" s="10"/>
      <c r="K101" s="9"/>
      <c r="L101" s="9"/>
      <c r="M101" s="9"/>
      <c r="N101" s="9"/>
      <c r="O101" s="9"/>
      <c r="P101" s="9"/>
      <c r="Q101" s="9"/>
      <c r="R101" s="7"/>
      <c r="S101" s="7"/>
      <c r="T101" s="7"/>
      <c r="U101" s="7"/>
      <c r="V101" s="7"/>
      <c r="W101" s="7"/>
      <c r="X101" s="7"/>
      <c r="Y101" s="7"/>
      <c r="Z101" s="7"/>
      <c r="AA101" s="9"/>
      <c r="AB101" s="9"/>
      <c r="AC101" s="9"/>
      <c r="AD101" s="10"/>
      <c r="AE101" s="10"/>
      <c r="AF101" s="10"/>
      <c r="AG101" s="10"/>
      <c r="AH101" s="11"/>
      <c r="AI101" s="11"/>
      <c r="AJ101" s="11"/>
      <c r="AK101" s="11"/>
      <c r="AL101" s="11"/>
      <c r="AM101" s="11"/>
      <c r="AN101" s="11"/>
      <c r="AO101" s="11"/>
      <c r="AP101" s="11"/>
      <c r="AQ101" s="16"/>
      <c r="AR101" s="16"/>
      <c r="AS101" s="16"/>
      <c r="AT101" s="17"/>
      <c r="AU101" s="50"/>
      <c r="AV101" s="17"/>
      <c r="AW101" s="7"/>
    </row>
    <row r="102" spans="1:49" s="7" customFormat="1">
      <c r="E102" s="8"/>
      <c r="F102" s="8"/>
      <c r="G102" s="10"/>
      <c r="H102" s="9"/>
      <c r="I102" s="9"/>
      <c r="J102" s="10"/>
      <c r="K102" s="9"/>
      <c r="L102" s="9"/>
      <c r="M102" s="9"/>
      <c r="N102" s="9"/>
      <c r="O102" s="9"/>
      <c r="P102" s="9"/>
      <c r="Q102" s="9"/>
      <c r="AA102" s="9"/>
      <c r="AB102" s="9"/>
      <c r="AC102" s="9"/>
      <c r="AD102" s="10"/>
      <c r="AE102" s="10"/>
      <c r="AF102" s="10"/>
      <c r="AG102" s="10"/>
      <c r="AH102" s="11"/>
      <c r="AI102" s="11"/>
      <c r="AJ102" s="11"/>
      <c r="AK102" s="11"/>
      <c r="AL102" s="11"/>
      <c r="AM102" s="11"/>
      <c r="AN102" s="11"/>
      <c r="AO102" s="11"/>
      <c r="AP102" s="11"/>
      <c r="AQ102" s="16"/>
      <c r="AR102" s="16"/>
      <c r="AS102" s="16"/>
      <c r="AT102" s="17"/>
      <c r="AU102" s="50"/>
      <c r="AV102" s="17"/>
    </row>
    <row r="103" spans="1:49" s="7" customFormat="1">
      <c r="E103" s="8"/>
      <c r="F103" s="8"/>
      <c r="G103" s="10"/>
      <c r="H103" s="9"/>
      <c r="I103" s="9"/>
      <c r="J103" s="10"/>
      <c r="K103" s="9"/>
      <c r="L103" s="9"/>
      <c r="M103" s="9"/>
      <c r="N103" s="9"/>
      <c r="O103" s="9"/>
      <c r="P103" s="9"/>
      <c r="Q103" s="9"/>
      <c r="AA103" s="9"/>
      <c r="AB103" s="9"/>
      <c r="AC103" s="9"/>
      <c r="AD103" s="10"/>
      <c r="AE103" s="10"/>
      <c r="AF103" s="10"/>
      <c r="AG103" s="10"/>
      <c r="AH103" s="11"/>
      <c r="AI103" s="11"/>
      <c r="AJ103" s="11"/>
      <c r="AK103" s="11"/>
      <c r="AL103" s="11"/>
      <c r="AM103" s="11"/>
      <c r="AN103" s="11"/>
      <c r="AO103" s="11"/>
      <c r="AP103" s="11"/>
      <c r="AQ103" s="16"/>
      <c r="AR103" s="16"/>
      <c r="AS103" s="16"/>
      <c r="AT103" s="17"/>
      <c r="AU103" s="50"/>
      <c r="AV103" s="17"/>
    </row>
    <row r="104" spans="1:49" s="7" customFormat="1">
      <c r="E104" s="8"/>
      <c r="F104" s="8"/>
      <c r="G104" s="10"/>
      <c r="H104" s="9"/>
      <c r="I104" s="9"/>
      <c r="J104" s="10"/>
      <c r="K104" s="9"/>
      <c r="L104" s="9"/>
      <c r="M104" s="9"/>
      <c r="N104" s="9"/>
      <c r="O104" s="9"/>
      <c r="P104" s="9"/>
      <c r="Q104" s="9"/>
      <c r="AA104" s="9"/>
      <c r="AB104" s="9"/>
      <c r="AC104" s="5"/>
      <c r="AD104" s="10"/>
      <c r="AE104" s="10"/>
      <c r="AF104" s="10"/>
      <c r="AG104" s="10"/>
      <c r="AH104" s="11"/>
      <c r="AI104" s="11"/>
      <c r="AJ104" s="11"/>
      <c r="AK104" s="11"/>
      <c r="AL104" s="11"/>
      <c r="AM104" s="11"/>
      <c r="AN104" s="11"/>
      <c r="AO104" s="11"/>
      <c r="AP104" s="11"/>
      <c r="AQ104" s="16"/>
      <c r="AR104" s="16"/>
      <c r="AS104" s="16"/>
      <c r="AT104" s="17"/>
      <c r="AU104" s="50"/>
      <c r="AV104" s="17"/>
    </row>
    <row r="105" spans="1:49" s="7" customFormat="1">
      <c r="E105" s="8"/>
      <c r="F105" s="8"/>
      <c r="G105" s="10"/>
      <c r="H105" s="9"/>
      <c r="I105" s="9"/>
      <c r="J105" s="10"/>
      <c r="K105" s="9"/>
      <c r="L105" s="9"/>
      <c r="M105" s="9"/>
      <c r="N105" s="9"/>
      <c r="O105" s="9"/>
      <c r="P105" s="9"/>
      <c r="Q105" s="5"/>
      <c r="W105" s="1"/>
      <c r="X105" s="1"/>
      <c r="Y105" s="1"/>
      <c r="Z105" s="1"/>
      <c r="AA105" s="5"/>
      <c r="AB105" s="5"/>
      <c r="AC105" s="5"/>
      <c r="AD105" s="6"/>
      <c r="AE105" s="6"/>
      <c r="AF105" s="6"/>
      <c r="AG105" s="6"/>
      <c r="AH105" s="2"/>
      <c r="AI105" s="2"/>
      <c r="AJ105" s="2"/>
      <c r="AK105" s="2"/>
      <c r="AL105" s="2"/>
      <c r="AM105" s="2"/>
      <c r="AN105" s="2"/>
      <c r="AO105" s="2"/>
      <c r="AP105" s="2"/>
      <c r="AQ105" s="14"/>
      <c r="AR105" s="14"/>
      <c r="AS105" s="14"/>
      <c r="AT105" s="17"/>
      <c r="AU105" s="50"/>
      <c r="AV105" s="17"/>
    </row>
    <row r="106" spans="1:49" s="7" customFormat="1">
      <c r="A106" s="1"/>
      <c r="B106" s="1"/>
      <c r="C106" s="1"/>
      <c r="D106" s="1"/>
      <c r="E106" s="3"/>
      <c r="F106" s="3"/>
      <c r="G106" s="6"/>
      <c r="H106" s="5"/>
      <c r="I106" s="5"/>
      <c r="J106" s="6"/>
      <c r="K106" s="5"/>
      <c r="L106" s="5"/>
      <c r="M106" s="5"/>
      <c r="N106" s="5"/>
      <c r="O106" s="5"/>
      <c r="P106" s="5"/>
      <c r="Q106" s="5"/>
      <c r="R106" s="1"/>
      <c r="S106" s="1"/>
      <c r="T106" s="1"/>
      <c r="U106" s="1"/>
      <c r="V106" s="1"/>
      <c r="W106" s="1"/>
      <c r="X106" s="1"/>
      <c r="Y106" s="1"/>
      <c r="Z106" s="1"/>
      <c r="AA106" s="5"/>
      <c r="AB106" s="5"/>
      <c r="AC106" s="5"/>
      <c r="AD106" s="6"/>
      <c r="AE106" s="6"/>
      <c r="AF106" s="6"/>
      <c r="AG106" s="6"/>
      <c r="AH106" s="2"/>
      <c r="AI106" s="2"/>
      <c r="AJ106" s="2"/>
      <c r="AK106" s="2"/>
      <c r="AL106" s="2"/>
      <c r="AM106" s="2"/>
      <c r="AN106" s="2"/>
      <c r="AO106" s="2"/>
      <c r="AP106" s="2"/>
      <c r="AQ106" s="14"/>
      <c r="AR106" s="14"/>
      <c r="AS106" s="14"/>
      <c r="AT106" s="15"/>
      <c r="AU106" s="51"/>
      <c r="AV106" s="15"/>
      <c r="AW106" s="1"/>
    </row>
    <row r="1048574" spans="43:43">
      <c r="AQ1048574" s="12">
        <f>AQ1048573-AL1048574</f>
        <v>0</v>
      </c>
    </row>
  </sheetData>
  <mergeCells count="149">
    <mergeCell ref="AV95:AW95"/>
    <mergeCell ref="AV96:AW96"/>
    <mergeCell ref="AV97:AW97"/>
    <mergeCell ref="AV98:AW98"/>
    <mergeCell ref="AV99:AW99"/>
    <mergeCell ref="AV100:AW100"/>
    <mergeCell ref="AV89:AW89"/>
    <mergeCell ref="AV90:AW90"/>
    <mergeCell ref="AV91:AW91"/>
    <mergeCell ref="AV92:AW92"/>
    <mergeCell ref="AV93:AW93"/>
    <mergeCell ref="AV94:AW94"/>
    <mergeCell ref="AV83:AW83"/>
    <mergeCell ref="AV84:AW84"/>
    <mergeCell ref="AV85:AW85"/>
    <mergeCell ref="AV86:AW86"/>
    <mergeCell ref="AV87:AW87"/>
    <mergeCell ref="AV88:AW88"/>
    <mergeCell ref="AV77:AW77"/>
    <mergeCell ref="AV78:AW78"/>
    <mergeCell ref="AV79:AW79"/>
    <mergeCell ref="AV80:AW80"/>
    <mergeCell ref="AV81:AW81"/>
    <mergeCell ref="AV82:AW82"/>
    <mergeCell ref="AV71:AW71"/>
    <mergeCell ref="AV72:AW72"/>
    <mergeCell ref="AV73:AW73"/>
    <mergeCell ref="AV74:AW74"/>
    <mergeCell ref="AV75:AW75"/>
    <mergeCell ref="AV76:AW76"/>
    <mergeCell ref="AV65:AW65"/>
    <mergeCell ref="AV66:AW66"/>
    <mergeCell ref="AV67:AW67"/>
    <mergeCell ref="AV68:AW68"/>
    <mergeCell ref="AV69:AW69"/>
    <mergeCell ref="AV70:AW70"/>
    <mergeCell ref="AV59:AW59"/>
    <mergeCell ref="AV60:AW60"/>
    <mergeCell ref="AV61:AW61"/>
    <mergeCell ref="AV62:AW62"/>
    <mergeCell ref="AV63:AW63"/>
    <mergeCell ref="AV64:AW64"/>
    <mergeCell ref="AV53:AW53"/>
    <mergeCell ref="AV54:AW54"/>
    <mergeCell ref="AV55:AW55"/>
    <mergeCell ref="AV56:AW56"/>
    <mergeCell ref="AV57:AW57"/>
    <mergeCell ref="AV58:AW58"/>
    <mergeCell ref="AV47:AW47"/>
    <mergeCell ref="AV48:AW48"/>
    <mergeCell ref="AV49:AW49"/>
    <mergeCell ref="AV50:AW50"/>
    <mergeCell ref="AV51:AW51"/>
    <mergeCell ref="AV52:AW52"/>
    <mergeCell ref="AV41:AW41"/>
    <mergeCell ref="AV42:AW42"/>
    <mergeCell ref="AV43:AW43"/>
    <mergeCell ref="AV44:AW44"/>
    <mergeCell ref="AV45:AW45"/>
    <mergeCell ref="AV46:AW46"/>
    <mergeCell ref="AV35:AW35"/>
    <mergeCell ref="AV36:AW36"/>
    <mergeCell ref="AV37:AW37"/>
    <mergeCell ref="AV38:AW38"/>
    <mergeCell ref="AV39:AW39"/>
    <mergeCell ref="AV40:AW40"/>
    <mergeCell ref="AV29:AW29"/>
    <mergeCell ref="AV30:AW30"/>
    <mergeCell ref="AV31:AW31"/>
    <mergeCell ref="AV32:AW32"/>
    <mergeCell ref="AV33:AW33"/>
    <mergeCell ref="AV34:AW34"/>
    <mergeCell ref="AV23:AW23"/>
    <mergeCell ref="AV24:AW24"/>
    <mergeCell ref="AV25:AW25"/>
    <mergeCell ref="AV26:AW26"/>
    <mergeCell ref="AV27:AW27"/>
    <mergeCell ref="AV28:AW28"/>
    <mergeCell ref="AV17:AW17"/>
    <mergeCell ref="AV18:AW18"/>
    <mergeCell ref="AV19:AW19"/>
    <mergeCell ref="AV20:AW20"/>
    <mergeCell ref="AV21:AW21"/>
    <mergeCell ref="AV22:AW22"/>
    <mergeCell ref="AV11:AW11"/>
    <mergeCell ref="AV12:AW12"/>
    <mergeCell ref="AV13:AW13"/>
    <mergeCell ref="AV14:AW14"/>
    <mergeCell ref="AV15:AW15"/>
    <mergeCell ref="AV16:AW16"/>
    <mergeCell ref="AV5:AW5"/>
    <mergeCell ref="AV6:AW6"/>
    <mergeCell ref="AV7:AW7"/>
    <mergeCell ref="AV8:AW8"/>
    <mergeCell ref="AV9:AW9"/>
    <mergeCell ref="AV10:AW10"/>
    <mergeCell ref="AN3:AN4"/>
    <mergeCell ref="AO3:AO4"/>
    <mergeCell ref="AP3:AP4"/>
    <mergeCell ref="AD3:AD4"/>
    <mergeCell ref="AE3:AE4"/>
    <mergeCell ref="AF3:AF4"/>
    <mergeCell ref="AG3:AG4"/>
    <mergeCell ref="AH3:AH4"/>
    <mergeCell ref="AI3:AI4"/>
    <mergeCell ref="AL2:AL4"/>
    <mergeCell ref="AM2:AP2"/>
    <mergeCell ref="G3:I3"/>
    <mergeCell ref="J3:L3"/>
    <mergeCell ref="M3:M4"/>
    <mergeCell ref="N3:N4"/>
    <mergeCell ref="O3:O4"/>
    <mergeCell ref="P3:P4"/>
    <mergeCell ref="AJ3:AJ4"/>
    <mergeCell ref="AK3:AK4"/>
    <mergeCell ref="AM3:AM4"/>
    <mergeCell ref="Z3:Z4"/>
    <mergeCell ref="AA3:AA4"/>
    <mergeCell ref="AC3:AC4"/>
    <mergeCell ref="Q3:Q4"/>
    <mergeCell ref="R3:R4"/>
    <mergeCell ref="S3:S4"/>
    <mergeCell ref="V3:V4"/>
    <mergeCell ref="W3:W4"/>
    <mergeCell ref="X3:X4"/>
    <mergeCell ref="A1:AW1"/>
    <mergeCell ref="A2:A4"/>
    <mergeCell ref="B2:B4"/>
    <mergeCell ref="C2:C4"/>
    <mergeCell ref="D2:D4"/>
    <mergeCell ref="E2:E4"/>
    <mergeCell ref="F2:F4"/>
    <mergeCell ref="G2:L2"/>
    <mergeCell ref="M2:Q2"/>
    <mergeCell ref="R2:S2"/>
    <mergeCell ref="AQ2:AS2"/>
    <mergeCell ref="AT2:AT4"/>
    <mergeCell ref="AU2:AU4"/>
    <mergeCell ref="AV2:AW4"/>
    <mergeCell ref="AQ3:AQ4"/>
    <mergeCell ref="AR3:AR4"/>
    <mergeCell ref="AS3:AS4"/>
    <mergeCell ref="T2:T4"/>
    <mergeCell ref="U2:U4"/>
    <mergeCell ref="V2:Z2"/>
    <mergeCell ref="AB2:AB4"/>
    <mergeCell ref="AC2:AG2"/>
    <mergeCell ref="AH2:AK2"/>
    <mergeCell ref="Y3:Y4"/>
  </mergeCells>
  <phoneticPr fontId="42" type="noConversion"/>
  <conditionalFormatting sqref="AM6:AM37 AQ6:AQ100">
    <cfRule type="containsText" dxfId="29" priority="16" operator="containsText" text="Pls check Quantity of each section">
      <formula>NOT(ISERROR(SEARCH("Pls check Quantity of each section",AM6)))</formula>
    </cfRule>
  </conditionalFormatting>
  <conditionalFormatting sqref="AM39:AM65 AM99:AM100 AM67 AM77:AM97">
    <cfRule type="containsText" dxfId="28" priority="17" operator="containsText" text="Pls check Quantity of each section">
      <formula>NOT(ISERROR(SEARCH("Pls check Quantity of each section",AM39)))</formula>
    </cfRule>
  </conditionalFormatting>
  <conditionalFormatting sqref="AM98">
    <cfRule type="containsText" dxfId="27" priority="15" operator="containsText" text="Pls check Quantity of each section">
      <formula>NOT(ISERROR(SEARCH("Pls check Quantity of each section",AM98)))</formula>
    </cfRule>
  </conditionalFormatting>
  <conditionalFormatting sqref="AM66">
    <cfRule type="containsText" dxfId="26" priority="14" operator="containsText" text="Pls check Quantity of each section">
      <formula>NOT(ISERROR(SEARCH("Pls check Quantity of each section",AM66)))</formula>
    </cfRule>
  </conditionalFormatting>
  <conditionalFormatting sqref="AM68">
    <cfRule type="containsText" dxfId="25" priority="13" operator="containsText" text="Pls check Quantity of each section">
      <formula>NOT(ISERROR(SEARCH("Pls check Quantity of each section",AM68)))</formula>
    </cfRule>
  </conditionalFormatting>
  <conditionalFormatting sqref="AM69">
    <cfRule type="containsText" dxfId="24" priority="12" operator="containsText" text="Pls check Quantity of each section">
      <formula>NOT(ISERROR(SEARCH("Pls check Quantity of each section",AM69)))</formula>
    </cfRule>
  </conditionalFormatting>
  <conditionalFormatting sqref="AM70">
    <cfRule type="containsText" dxfId="23" priority="11" operator="containsText" text="Pls check Quantity of each section">
      <formula>NOT(ISERROR(SEARCH("Pls check Quantity of each section",AM70)))</formula>
    </cfRule>
  </conditionalFormatting>
  <conditionalFormatting sqref="AM71">
    <cfRule type="containsText" dxfId="22" priority="10" operator="containsText" text="Pls check Quantity of each section">
      <formula>NOT(ISERROR(SEARCH("Pls check Quantity of each section",AM71)))</formula>
    </cfRule>
  </conditionalFormatting>
  <conditionalFormatting sqref="AM72">
    <cfRule type="containsText" dxfId="21" priority="9" operator="containsText" text="Pls check Quantity of each section">
      <formula>NOT(ISERROR(SEARCH("Pls check Quantity of each section",AM72)))</formula>
    </cfRule>
  </conditionalFormatting>
  <conditionalFormatting sqref="AM73">
    <cfRule type="containsText" dxfId="20" priority="8" operator="containsText" text="Pls check Quantity of each section">
      <formula>NOT(ISERROR(SEARCH("Pls check Quantity of each section",AM73)))</formula>
    </cfRule>
  </conditionalFormatting>
  <conditionalFormatting sqref="AM74">
    <cfRule type="containsText" dxfId="19" priority="7" operator="containsText" text="Pls check Quantity of each section">
      <formula>NOT(ISERROR(SEARCH("Pls check Quantity of each section",AM74)))</formula>
    </cfRule>
  </conditionalFormatting>
  <conditionalFormatting sqref="AM75">
    <cfRule type="containsText" dxfId="18" priority="6" operator="containsText" text="Pls check Quantity of each section">
      <formula>NOT(ISERROR(SEARCH("Pls check Quantity of each section",AM75)))</formula>
    </cfRule>
  </conditionalFormatting>
  <conditionalFormatting sqref="AM76">
    <cfRule type="containsText" dxfId="17" priority="5" operator="containsText" text="Pls check Quantity of each section">
      <formula>NOT(ISERROR(SEARCH("Pls check Quantity of each section",AM76)))</formula>
    </cfRule>
  </conditionalFormatting>
  <conditionalFormatting sqref="AQ5">
    <cfRule type="containsText" dxfId="16" priority="1" operator="containsText" text="Pls check Quantity of each section">
      <formula>NOT(ISERROR(SEARCH("Pls check Quantity of each section",AQ5)))</formula>
    </cfRule>
  </conditionalFormatting>
  <conditionalFormatting sqref="AM5">
    <cfRule type="containsText" dxfId="15" priority="2" operator="containsText" text="Pls check Quantity of each section">
      <formula>NOT(ISERROR(SEARCH("Pls check Quantity of each section",AM5)))</formula>
    </cfRule>
  </conditionalFormatting>
  <dataValidations count="15">
    <dataValidation type="decimal" allowBlank="1" showInputMessage="1" showErrorMessage="1" sqref="V5:Z100" xr:uid="{00000000-0002-0000-0300-000000000000}">
      <formula1>0</formula1>
      <formula2>25</formula2>
    </dataValidation>
    <dataValidation type="decimal" allowBlank="1" showInputMessage="1" showErrorMessage="1" sqref="AI28 AH26:AI27 AQ1048574:AQ1048576 AH29:AI36 AJ26:AJ37 AM5:AS100 AL14:AL96 AH37:AH77 AH78:AJ96 AH97:AL100 AI38:AJ77 AH5:AL5 AH6:AK25 AK26:AK96 U5:U100" xr:uid="{00000000-0002-0000-0300-000001000000}">
      <formula1>0</formula1>
      <formula2>100000</formula2>
    </dataValidation>
    <dataValidation type="decimal" allowBlank="1" showInputMessage="1" showErrorMessage="1" sqref="AA5:AA100" xr:uid="{00000000-0002-0000-0300-000002000000}">
      <formula1>0</formula1>
      <formula2>625</formula2>
    </dataValidation>
    <dataValidation type="decimal" allowBlank="1" showInputMessage="1" showErrorMessage="1" sqref="AB5:AB100 S5:S100" xr:uid="{00000000-0002-0000-0300-000003000000}">
      <formula1>0</formula1>
      <formula2>30</formula2>
    </dataValidation>
    <dataValidation type="list" allowBlank="1" showInputMessage="1" showErrorMessage="1" sqref="N5:N100" xr:uid="{00000000-0002-0000-0300-000004000000}">
      <formula1>"0,1,2,3,4,5,6,7,8,9,10,11,12,13,14,15"</formula1>
    </dataValidation>
    <dataValidation type="list" allowBlank="1" showInputMessage="1" showErrorMessage="1" sqref="O5:O100" xr:uid="{00000000-0002-0000-0300-000005000000}">
      <formula1>"0,1,2,3,4,5,6,7,8,9,10,11,12,13,14,15,16,17"</formula1>
    </dataValidation>
    <dataValidation type="list" allowBlank="1" showInputMessage="1" showErrorMessage="1" sqref="P5:P100" xr:uid="{00000000-0002-0000-0300-000006000000}">
      <formula1>"0,1,2,3,4,5,6,7,8,9"</formula1>
    </dataValidation>
    <dataValidation type="list" allowBlank="1" showInputMessage="1" showErrorMessage="1" sqref="Q5:Q100" xr:uid="{00000000-0002-0000-0300-000007000000}">
      <formula1>"0,1,2,3,4,5,6,7,8"</formula1>
    </dataValidation>
    <dataValidation type="whole" allowBlank="1" showInputMessage="1" showErrorMessage="1" sqref="J5:J100" xr:uid="{00000000-0002-0000-0300-000008000000}">
      <formula1>0</formula1>
      <formula2>180</formula2>
    </dataValidation>
    <dataValidation type="whole" allowBlank="1" showInputMessage="1" showErrorMessage="1" sqref="G5:G100" xr:uid="{00000000-0002-0000-0300-000009000000}">
      <formula1>0</formula1>
      <formula2>90</formula2>
    </dataValidation>
    <dataValidation type="decimal" allowBlank="1" showInputMessage="1" showErrorMessage="1" sqref="K5:K100 H5:H100" xr:uid="{00000000-0002-0000-0300-00000A000000}">
      <formula1>0</formula1>
      <formula2>60</formula2>
    </dataValidation>
    <dataValidation type="decimal" allowBlank="1" showInputMessage="1" showErrorMessage="1" sqref="F5:F100" xr:uid="{00000000-0002-0000-0300-00000B000000}">
      <formula1>-11</formula1>
      <formula2>13</formula2>
    </dataValidation>
    <dataValidation type="list" operator="equal" allowBlank="1" showInputMessage="1" showErrorMessage="1" sqref="I5:I100" xr:uid="{00000000-0002-0000-0300-00000C000000}">
      <formula1>"N,S"</formula1>
    </dataValidation>
    <dataValidation type="list" operator="equal" allowBlank="1" showInputMessage="1" showErrorMessage="1" sqref="L5:L100" xr:uid="{00000000-0002-0000-0300-00000D000000}">
      <formula1>"E,W"</formula1>
    </dataValidation>
    <dataValidation type="list" operator="equal" allowBlank="1" showInputMessage="1" showErrorMessage="1" sqref="M5:M100" xr:uid="{00000000-0002-0000-0300-00000E000000}">
      <formula1>"A,B,C,D,E,F,G,H,L,M,O,P,Q,R,S,T,U,V,W,X,Z"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W1048574"/>
  <sheetViews>
    <sheetView zoomScale="85" zoomScaleNormal="85" zoomScaleSheetLayoutView="70" workbookViewId="0">
      <pane xSplit="5" ySplit="4" topLeftCell="AL44" activePane="bottomRight" state="frozen"/>
      <selection pane="topRight" activeCell="F1" sqref="F1"/>
      <selection pane="bottomLeft" activeCell="A5" sqref="A5"/>
      <selection pane="bottomRight" activeCell="AV60" sqref="AV60:AW60"/>
    </sheetView>
  </sheetViews>
  <sheetFormatPr defaultColWidth="9" defaultRowHeight="13.5"/>
  <cols>
    <col min="1" max="1" width="15.54296875" style="1" customWidth="1"/>
    <col min="2" max="2" width="14" style="1" customWidth="1"/>
    <col min="3" max="3" width="13.54296875" style="1" customWidth="1"/>
    <col min="4" max="4" width="14.453125" style="1" customWidth="1"/>
    <col min="5" max="5" width="17" style="3" customWidth="1"/>
    <col min="6" max="6" width="18.1796875" style="3" customWidth="1"/>
    <col min="7" max="7" width="6.54296875" style="6" customWidth="1"/>
    <col min="8" max="9" width="6.54296875" style="5" customWidth="1"/>
    <col min="10" max="10" width="6.54296875" style="6" customWidth="1"/>
    <col min="11" max="11" width="6.54296875" style="5" customWidth="1"/>
    <col min="12" max="12" width="5.54296875" style="5" customWidth="1"/>
    <col min="13" max="13" width="8.453125" style="5" customWidth="1"/>
    <col min="14" max="14" width="9.54296875" style="5" customWidth="1"/>
    <col min="15" max="17" width="6.54296875" style="5" customWidth="1"/>
    <col min="18" max="19" width="6.54296875" style="1" customWidth="1"/>
    <col min="20" max="20" width="7.54296875" style="1" customWidth="1"/>
    <col min="21" max="21" width="13.453125" style="1" customWidth="1"/>
    <col min="22" max="22" width="6.54296875" style="1" customWidth="1"/>
    <col min="23" max="23" width="12.453125" style="1" customWidth="1"/>
    <col min="24" max="26" width="10.54296875" style="1" customWidth="1"/>
    <col min="27" max="27" width="10.54296875" style="5" customWidth="1"/>
    <col min="28" max="28" width="8.54296875" style="5" customWidth="1"/>
    <col min="29" max="29" width="13" style="5" customWidth="1"/>
    <col min="30" max="31" width="15" style="6" customWidth="1"/>
    <col min="32" max="32" width="11.453125" style="6" customWidth="1"/>
    <col min="33" max="33" width="10.453125" style="6" customWidth="1"/>
    <col min="34" max="37" width="23.453125" style="2" customWidth="1"/>
    <col min="38" max="38" width="16.54296875" style="2" customWidth="1"/>
    <col min="39" max="42" width="8.54296875" style="2" customWidth="1"/>
    <col min="43" max="43" width="10.54296875" style="14" bestFit="1" customWidth="1"/>
    <col min="44" max="45" width="8.54296875" style="14" customWidth="1"/>
    <col min="46" max="46" width="15" style="15" hidden="1" customWidth="1"/>
    <col min="47" max="47" width="15" style="51" customWidth="1"/>
    <col min="48" max="48" width="10.453125" style="15" customWidth="1"/>
    <col min="49" max="49" width="19.453125" style="1" customWidth="1"/>
    <col min="50" max="16384" width="9" style="1"/>
  </cols>
  <sheetData>
    <row r="1" spans="1:49" ht="28.4" customHeight="1">
      <c r="A1" s="82" t="s">
        <v>110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4"/>
      <c r="AE1" s="84"/>
      <c r="AF1" s="84"/>
      <c r="AG1" s="84"/>
      <c r="AH1" s="84"/>
      <c r="AI1" s="84"/>
      <c r="AJ1" s="84"/>
      <c r="AK1" s="84"/>
      <c r="AL1" s="84"/>
      <c r="AM1" s="84"/>
      <c r="AN1" s="84"/>
      <c r="AO1" s="84"/>
      <c r="AP1" s="84"/>
      <c r="AQ1" s="84"/>
      <c r="AR1" s="84"/>
      <c r="AS1" s="84"/>
      <c r="AT1" s="84"/>
      <c r="AU1" s="84"/>
      <c r="AV1" s="84"/>
      <c r="AW1" s="84"/>
    </row>
    <row r="2" spans="1:49" s="2" customFormat="1" ht="53.25" customHeight="1">
      <c r="A2" s="85" t="s">
        <v>14</v>
      </c>
      <c r="B2" s="85" t="s">
        <v>0</v>
      </c>
      <c r="C2" s="86" t="s">
        <v>27</v>
      </c>
      <c r="D2" s="86" t="s">
        <v>28</v>
      </c>
      <c r="E2" s="87" t="s">
        <v>25</v>
      </c>
      <c r="F2" s="89" t="s">
        <v>26</v>
      </c>
      <c r="G2" s="92" t="s">
        <v>1</v>
      </c>
      <c r="H2" s="93"/>
      <c r="I2" s="93"/>
      <c r="J2" s="93"/>
      <c r="K2" s="94"/>
      <c r="L2" s="95"/>
      <c r="M2" s="96" t="s">
        <v>15</v>
      </c>
      <c r="N2" s="97"/>
      <c r="O2" s="97"/>
      <c r="P2" s="97"/>
      <c r="Q2" s="98"/>
      <c r="R2" s="99" t="s">
        <v>19</v>
      </c>
      <c r="S2" s="99"/>
      <c r="T2" s="89" t="s">
        <v>7</v>
      </c>
      <c r="U2" s="116" t="s">
        <v>95</v>
      </c>
      <c r="V2" s="117" t="s">
        <v>37</v>
      </c>
      <c r="W2" s="118"/>
      <c r="X2" s="118"/>
      <c r="Y2" s="118"/>
      <c r="Z2" s="119"/>
      <c r="AA2" s="39" t="s">
        <v>20</v>
      </c>
      <c r="AB2" s="111" t="s">
        <v>111</v>
      </c>
      <c r="AC2" s="120" t="s">
        <v>105</v>
      </c>
      <c r="AD2" s="121"/>
      <c r="AE2" s="121"/>
      <c r="AF2" s="121"/>
      <c r="AG2" s="119"/>
      <c r="AH2" s="117" t="s">
        <v>98</v>
      </c>
      <c r="AI2" s="121"/>
      <c r="AJ2" s="121"/>
      <c r="AK2" s="119"/>
      <c r="AL2" s="126" t="s">
        <v>30</v>
      </c>
      <c r="AM2" s="134" t="s">
        <v>31</v>
      </c>
      <c r="AN2" s="135"/>
      <c r="AO2" s="135"/>
      <c r="AP2" s="135"/>
      <c r="AQ2" s="100" t="s">
        <v>34</v>
      </c>
      <c r="AR2" s="101"/>
      <c r="AS2" s="100"/>
      <c r="AT2" s="102" t="s">
        <v>39</v>
      </c>
      <c r="AU2" s="102" t="s">
        <v>39</v>
      </c>
      <c r="AV2" s="105" t="s">
        <v>35</v>
      </c>
      <c r="AW2" s="106"/>
    </row>
    <row r="3" spans="1:49" s="2" customFormat="1" ht="34.5" customHeight="1">
      <c r="A3" s="85"/>
      <c r="B3" s="85"/>
      <c r="C3" s="86"/>
      <c r="D3" s="86"/>
      <c r="E3" s="87"/>
      <c r="F3" s="90"/>
      <c r="G3" s="92" t="s">
        <v>21</v>
      </c>
      <c r="H3" s="93"/>
      <c r="I3" s="95"/>
      <c r="J3" s="92" t="s">
        <v>13</v>
      </c>
      <c r="K3" s="93"/>
      <c r="L3" s="95"/>
      <c r="M3" s="124" t="s">
        <v>15</v>
      </c>
      <c r="N3" s="111" t="s">
        <v>9</v>
      </c>
      <c r="O3" s="111" t="s">
        <v>22</v>
      </c>
      <c r="P3" s="111" t="s">
        <v>10</v>
      </c>
      <c r="Q3" s="111" t="s">
        <v>16</v>
      </c>
      <c r="R3" s="111" t="s">
        <v>23</v>
      </c>
      <c r="S3" s="111" t="s">
        <v>24</v>
      </c>
      <c r="T3" s="114"/>
      <c r="U3" s="103"/>
      <c r="V3" s="111" t="s">
        <v>11</v>
      </c>
      <c r="W3" s="111" t="s">
        <v>97</v>
      </c>
      <c r="X3" s="111" t="s">
        <v>29</v>
      </c>
      <c r="Y3" s="122" t="s">
        <v>106</v>
      </c>
      <c r="Z3" s="122" t="s">
        <v>107</v>
      </c>
      <c r="AA3" s="111" t="s">
        <v>97</v>
      </c>
      <c r="AB3" s="103"/>
      <c r="AC3" s="128" t="s">
        <v>101</v>
      </c>
      <c r="AD3" s="129" t="s">
        <v>102</v>
      </c>
      <c r="AE3" s="130" t="s">
        <v>112</v>
      </c>
      <c r="AF3" s="129" t="s">
        <v>103</v>
      </c>
      <c r="AG3" s="129" t="s">
        <v>104</v>
      </c>
      <c r="AH3" s="126" t="s">
        <v>99</v>
      </c>
      <c r="AI3" s="129" t="s">
        <v>100</v>
      </c>
      <c r="AJ3" s="126" t="s">
        <v>108</v>
      </c>
      <c r="AK3" s="111" t="s">
        <v>109</v>
      </c>
      <c r="AL3" s="132"/>
      <c r="AM3" s="127" t="s">
        <v>3</v>
      </c>
      <c r="AN3" s="113" t="s">
        <v>4</v>
      </c>
      <c r="AO3" s="113" t="s">
        <v>32</v>
      </c>
      <c r="AP3" s="113" t="s">
        <v>33</v>
      </c>
      <c r="AQ3" s="111" t="s">
        <v>3</v>
      </c>
      <c r="AR3" s="113" t="s">
        <v>32</v>
      </c>
      <c r="AS3" s="113" t="s">
        <v>36</v>
      </c>
      <c r="AT3" s="103"/>
      <c r="AU3" s="90"/>
      <c r="AV3" s="107"/>
      <c r="AW3" s="108"/>
    </row>
    <row r="4" spans="1:49" s="2" customFormat="1" ht="63.65" customHeight="1">
      <c r="A4" s="85"/>
      <c r="B4" s="85"/>
      <c r="C4" s="86"/>
      <c r="D4" s="86"/>
      <c r="E4" s="88"/>
      <c r="F4" s="91"/>
      <c r="G4" s="22" t="s">
        <v>17</v>
      </c>
      <c r="H4" s="22" t="s">
        <v>8</v>
      </c>
      <c r="I4" s="22" t="s">
        <v>18</v>
      </c>
      <c r="J4" s="22" t="s">
        <v>17</v>
      </c>
      <c r="K4" s="22" t="s">
        <v>8</v>
      </c>
      <c r="L4" s="22" t="s">
        <v>12</v>
      </c>
      <c r="M4" s="125"/>
      <c r="N4" s="112"/>
      <c r="O4" s="112"/>
      <c r="P4" s="112"/>
      <c r="Q4" s="112"/>
      <c r="R4" s="112"/>
      <c r="S4" s="112"/>
      <c r="T4" s="115"/>
      <c r="U4" s="104"/>
      <c r="V4" s="112" t="s">
        <v>11</v>
      </c>
      <c r="W4" s="104"/>
      <c r="X4" s="112"/>
      <c r="Y4" s="123"/>
      <c r="Z4" s="123"/>
      <c r="AA4" s="104"/>
      <c r="AB4" s="104"/>
      <c r="AC4" s="129"/>
      <c r="AD4" s="129"/>
      <c r="AE4" s="104"/>
      <c r="AF4" s="129"/>
      <c r="AG4" s="129"/>
      <c r="AH4" s="104"/>
      <c r="AI4" s="131"/>
      <c r="AJ4" s="123"/>
      <c r="AK4" s="112" t="s">
        <v>2</v>
      </c>
      <c r="AL4" s="133"/>
      <c r="AM4" s="112" t="s">
        <v>3</v>
      </c>
      <c r="AN4" s="91" t="s">
        <v>4</v>
      </c>
      <c r="AO4" s="91" t="s">
        <v>5</v>
      </c>
      <c r="AP4" s="91" t="s">
        <v>6</v>
      </c>
      <c r="AQ4" s="112" t="s">
        <v>3</v>
      </c>
      <c r="AR4" s="91" t="s">
        <v>5</v>
      </c>
      <c r="AS4" s="91" t="s">
        <v>5</v>
      </c>
      <c r="AT4" s="104"/>
      <c r="AU4" s="91"/>
      <c r="AV4" s="109"/>
      <c r="AW4" s="110"/>
    </row>
    <row r="5" spans="1:49" s="4" customFormat="1" ht="19.399999999999999" customHeight="1">
      <c r="A5" s="18" t="s">
        <v>134</v>
      </c>
      <c r="B5" s="18" t="s">
        <v>174</v>
      </c>
      <c r="C5" s="19" t="s">
        <v>175</v>
      </c>
      <c r="D5" s="19" t="s">
        <v>127</v>
      </c>
      <c r="E5" s="19" t="s">
        <v>176</v>
      </c>
      <c r="F5" s="58">
        <v>8</v>
      </c>
      <c r="G5" s="43">
        <v>22</v>
      </c>
      <c r="H5" s="44">
        <v>58.4</v>
      </c>
      <c r="I5" s="44" t="s">
        <v>38</v>
      </c>
      <c r="J5" s="43">
        <v>120</v>
      </c>
      <c r="K5" s="44">
        <v>10.4</v>
      </c>
      <c r="L5" s="44" t="s">
        <v>122</v>
      </c>
      <c r="M5" s="43" t="s">
        <v>115</v>
      </c>
      <c r="N5" s="45">
        <v>14</v>
      </c>
      <c r="O5" s="45">
        <v>2</v>
      </c>
      <c r="P5" s="45">
        <v>2</v>
      </c>
      <c r="Q5" s="45">
        <v>1</v>
      </c>
      <c r="R5" s="46">
        <v>4</v>
      </c>
      <c r="S5" s="46">
        <v>4.2</v>
      </c>
      <c r="T5" s="46">
        <v>270</v>
      </c>
      <c r="U5" s="47">
        <v>2975</v>
      </c>
      <c r="V5" s="23">
        <v>24</v>
      </c>
      <c r="W5" s="38">
        <v>0</v>
      </c>
      <c r="X5" s="38">
        <v>0</v>
      </c>
      <c r="Y5" s="38">
        <v>24</v>
      </c>
      <c r="Z5" s="38">
        <v>0</v>
      </c>
      <c r="AA5" s="44">
        <v>0</v>
      </c>
      <c r="AB5" s="44">
        <v>0</v>
      </c>
      <c r="AC5" s="52" t="s">
        <v>119</v>
      </c>
      <c r="AD5" s="19">
        <v>147</v>
      </c>
      <c r="AE5" s="48"/>
      <c r="AF5" s="40">
        <v>0</v>
      </c>
      <c r="AG5" s="19">
        <v>0</v>
      </c>
      <c r="AH5" s="21">
        <v>0</v>
      </c>
      <c r="AI5" s="21">
        <v>0</v>
      </c>
      <c r="AJ5" s="21">
        <v>1.6</v>
      </c>
      <c r="AK5" s="21">
        <v>0</v>
      </c>
      <c r="AL5" s="24">
        <v>1.6</v>
      </c>
      <c r="AM5" s="12"/>
      <c r="AN5" s="12"/>
      <c r="AO5" s="12"/>
      <c r="AP5" s="12"/>
      <c r="AQ5" s="55">
        <v>304.3</v>
      </c>
      <c r="AR5" s="21"/>
      <c r="AS5" s="12">
        <v>312</v>
      </c>
      <c r="AT5" s="26"/>
      <c r="AU5" s="49"/>
      <c r="AV5" s="145" t="s">
        <v>180</v>
      </c>
      <c r="AW5" s="146"/>
    </row>
    <row r="6" spans="1:49" s="4" customFormat="1" ht="19.399999999999999" customHeight="1">
      <c r="A6" s="18" t="s">
        <v>134</v>
      </c>
      <c r="B6" s="18" t="s">
        <v>177</v>
      </c>
      <c r="C6" s="19" t="s">
        <v>178</v>
      </c>
      <c r="D6" s="19" t="s">
        <v>127</v>
      </c>
      <c r="E6" s="19" t="s">
        <v>179</v>
      </c>
      <c r="F6" s="58">
        <v>8</v>
      </c>
      <c r="G6" s="43">
        <v>22</v>
      </c>
      <c r="H6" s="44">
        <v>58.4</v>
      </c>
      <c r="I6" s="44" t="s">
        <v>38</v>
      </c>
      <c r="J6" s="43">
        <v>120</v>
      </c>
      <c r="K6" s="44">
        <v>10.4</v>
      </c>
      <c r="L6" s="44" t="s">
        <v>122</v>
      </c>
      <c r="M6" s="43" t="s">
        <v>96</v>
      </c>
      <c r="N6" s="45">
        <v>14</v>
      </c>
      <c r="O6" s="45">
        <v>2</v>
      </c>
      <c r="P6" s="45">
        <v>2</v>
      </c>
      <c r="Q6" s="45">
        <v>1</v>
      </c>
      <c r="R6" s="46">
        <v>4</v>
      </c>
      <c r="S6" s="46">
        <v>4.2</v>
      </c>
      <c r="T6" s="46">
        <v>270</v>
      </c>
      <c r="U6" s="47">
        <v>2975</v>
      </c>
      <c r="V6" s="23">
        <v>24</v>
      </c>
      <c r="W6" s="38">
        <v>0</v>
      </c>
      <c r="X6" s="38">
        <v>0</v>
      </c>
      <c r="Y6" s="38">
        <v>24</v>
      </c>
      <c r="Z6" s="38">
        <v>0</v>
      </c>
      <c r="AA6" s="44">
        <v>0</v>
      </c>
      <c r="AB6" s="44">
        <v>0</v>
      </c>
      <c r="AC6" s="52" t="s">
        <v>119</v>
      </c>
      <c r="AD6" s="19">
        <v>171</v>
      </c>
      <c r="AE6" s="40"/>
      <c r="AF6" s="40">
        <v>0</v>
      </c>
      <c r="AG6" s="19">
        <v>0</v>
      </c>
      <c r="AH6" s="21">
        <v>0</v>
      </c>
      <c r="AI6" s="21">
        <v>0</v>
      </c>
      <c r="AJ6" s="21">
        <v>1.2</v>
      </c>
      <c r="AK6" s="21">
        <v>0</v>
      </c>
      <c r="AL6" s="24">
        <f t="shared" ref="AL6:AL100" si="0">AH6+AI6+AJ6+AK6</f>
        <v>1.2</v>
      </c>
      <c r="AM6" s="12"/>
      <c r="AN6" s="12"/>
      <c r="AO6" s="12"/>
      <c r="AP6" s="12"/>
      <c r="AQ6" s="55">
        <f t="shared" ref="AQ6:AQ44" si="1">AQ5-AL6</f>
        <v>303.10000000000002</v>
      </c>
      <c r="AR6" s="21"/>
      <c r="AS6" s="12">
        <v>302</v>
      </c>
      <c r="AT6" s="26"/>
      <c r="AU6" s="49"/>
      <c r="AV6" s="136"/>
      <c r="AW6" s="137"/>
    </row>
    <row r="7" spans="1:49" s="4" customFormat="1" ht="19.399999999999999" customHeight="1">
      <c r="A7" s="18" t="s">
        <v>134</v>
      </c>
      <c r="B7" s="18" t="s">
        <v>177</v>
      </c>
      <c r="C7" s="19" t="s">
        <v>178</v>
      </c>
      <c r="D7" s="19" t="s">
        <v>127</v>
      </c>
      <c r="E7" s="19" t="s">
        <v>181</v>
      </c>
      <c r="F7" s="58">
        <v>8</v>
      </c>
      <c r="G7" s="43">
        <v>22</v>
      </c>
      <c r="H7" s="44">
        <v>58.4</v>
      </c>
      <c r="I7" s="44" t="s">
        <v>38</v>
      </c>
      <c r="J7" s="43">
        <v>120</v>
      </c>
      <c r="K7" s="44">
        <v>10.4</v>
      </c>
      <c r="L7" s="44" t="s">
        <v>122</v>
      </c>
      <c r="M7" s="43" t="s">
        <v>96</v>
      </c>
      <c r="N7" s="45">
        <v>14</v>
      </c>
      <c r="O7" s="45">
        <v>2</v>
      </c>
      <c r="P7" s="45">
        <v>2</v>
      </c>
      <c r="Q7" s="45">
        <v>1</v>
      </c>
      <c r="R7" s="46">
        <v>4</v>
      </c>
      <c r="S7" s="46">
        <v>4.2</v>
      </c>
      <c r="T7" s="46">
        <v>270</v>
      </c>
      <c r="U7" s="47">
        <v>2975</v>
      </c>
      <c r="V7" s="23">
        <v>24</v>
      </c>
      <c r="W7" s="38">
        <v>0</v>
      </c>
      <c r="X7" s="38">
        <v>0</v>
      </c>
      <c r="Y7" s="38">
        <v>24</v>
      </c>
      <c r="Z7" s="38">
        <v>0</v>
      </c>
      <c r="AA7" s="44">
        <v>0</v>
      </c>
      <c r="AB7" s="44">
        <v>0</v>
      </c>
      <c r="AC7" s="52" t="s">
        <v>119</v>
      </c>
      <c r="AD7" s="19">
        <v>172</v>
      </c>
      <c r="AE7" s="40"/>
      <c r="AF7" s="40">
        <v>0</v>
      </c>
      <c r="AG7" s="19">
        <v>0</v>
      </c>
      <c r="AH7" s="21">
        <v>0</v>
      </c>
      <c r="AI7" s="21">
        <v>0</v>
      </c>
      <c r="AJ7" s="21">
        <v>1.5</v>
      </c>
      <c r="AK7" s="21">
        <v>0</v>
      </c>
      <c r="AL7" s="24">
        <f t="shared" si="0"/>
        <v>1.5</v>
      </c>
      <c r="AM7" s="12"/>
      <c r="AN7" s="12"/>
      <c r="AO7" s="12"/>
      <c r="AP7" s="12"/>
      <c r="AQ7" s="55">
        <f t="shared" si="1"/>
        <v>301.60000000000002</v>
      </c>
      <c r="AR7" s="21"/>
      <c r="AS7" s="12">
        <v>298</v>
      </c>
      <c r="AT7" s="26"/>
      <c r="AU7" s="49"/>
      <c r="AV7" s="136"/>
      <c r="AW7" s="137"/>
    </row>
    <row r="8" spans="1:49" s="4" customFormat="1" ht="19.399999999999999" customHeight="1">
      <c r="A8" s="18" t="s">
        <v>134</v>
      </c>
      <c r="B8" s="18" t="s">
        <v>177</v>
      </c>
      <c r="C8" s="19" t="s">
        <v>178</v>
      </c>
      <c r="D8" s="19" t="s">
        <v>127</v>
      </c>
      <c r="E8" s="19" t="s">
        <v>182</v>
      </c>
      <c r="F8" s="58">
        <v>8</v>
      </c>
      <c r="G8" s="43">
        <v>22</v>
      </c>
      <c r="H8" s="44">
        <v>58.4</v>
      </c>
      <c r="I8" s="44" t="s">
        <v>38</v>
      </c>
      <c r="J8" s="43">
        <v>120</v>
      </c>
      <c r="K8" s="44">
        <v>10.4</v>
      </c>
      <c r="L8" s="44" t="s">
        <v>122</v>
      </c>
      <c r="M8" s="43" t="s">
        <v>96</v>
      </c>
      <c r="N8" s="45">
        <v>14</v>
      </c>
      <c r="O8" s="45">
        <v>2</v>
      </c>
      <c r="P8" s="45">
        <v>2</v>
      </c>
      <c r="Q8" s="45">
        <v>1</v>
      </c>
      <c r="R8" s="46">
        <v>4</v>
      </c>
      <c r="S8" s="46">
        <v>4.2</v>
      </c>
      <c r="T8" s="46">
        <v>270</v>
      </c>
      <c r="U8" s="47">
        <v>2975</v>
      </c>
      <c r="V8" s="23">
        <v>24</v>
      </c>
      <c r="W8" s="38">
        <v>0</v>
      </c>
      <c r="X8" s="38">
        <v>0</v>
      </c>
      <c r="Y8" s="38">
        <v>24</v>
      </c>
      <c r="Z8" s="38">
        <v>0</v>
      </c>
      <c r="AA8" s="44">
        <v>0</v>
      </c>
      <c r="AB8" s="44">
        <v>0</v>
      </c>
      <c r="AC8" s="52" t="s">
        <v>119</v>
      </c>
      <c r="AD8" s="19">
        <v>207</v>
      </c>
      <c r="AE8" s="40"/>
      <c r="AF8" s="40">
        <v>0</v>
      </c>
      <c r="AG8" s="19">
        <v>0</v>
      </c>
      <c r="AH8" s="21">
        <v>0</v>
      </c>
      <c r="AI8" s="21">
        <v>0</v>
      </c>
      <c r="AJ8" s="21">
        <v>1.5</v>
      </c>
      <c r="AK8" s="21">
        <v>0</v>
      </c>
      <c r="AL8" s="24">
        <f t="shared" si="0"/>
        <v>1.5</v>
      </c>
      <c r="AM8" s="12"/>
      <c r="AN8" s="12"/>
      <c r="AO8" s="12"/>
      <c r="AP8" s="12"/>
      <c r="AQ8" s="55">
        <f t="shared" si="1"/>
        <v>300.10000000000002</v>
      </c>
      <c r="AR8" s="21"/>
      <c r="AS8" s="12">
        <v>295</v>
      </c>
      <c r="AT8" s="26"/>
      <c r="AU8" s="49"/>
      <c r="AV8" s="136"/>
      <c r="AW8" s="137"/>
    </row>
    <row r="9" spans="1:49" s="4" customFormat="1" ht="19.399999999999999" customHeight="1">
      <c r="A9" s="18" t="s">
        <v>134</v>
      </c>
      <c r="B9" s="18" t="s">
        <v>177</v>
      </c>
      <c r="C9" s="19" t="s">
        <v>178</v>
      </c>
      <c r="D9" s="19" t="s">
        <v>127</v>
      </c>
      <c r="E9" s="19" t="s">
        <v>183</v>
      </c>
      <c r="F9" s="58">
        <v>8</v>
      </c>
      <c r="G9" s="43">
        <v>22</v>
      </c>
      <c r="H9" s="44">
        <v>58.4</v>
      </c>
      <c r="I9" s="44" t="s">
        <v>38</v>
      </c>
      <c r="J9" s="43">
        <v>120</v>
      </c>
      <c r="K9" s="44">
        <v>10.4</v>
      </c>
      <c r="L9" s="44" t="s">
        <v>122</v>
      </c>
      <c r="M9" s="43" t="s">
        <v>96</v>
      </c>
      <c r="N9" s="45">
        <v>14</v>
      </c>
      <c r="O9" s="45">
        <v>2</v>
      </c>
      <c r="P9" s="45">
        <v>2</v>
      </c>
      <c r="Q9" s="45">
        <v>1</v>
      </c>
      <c r="R9" s="46">
        <v>4</v>
      </c>
      <c r="S9" s="46">
        <v>4.2</v>
      </c>
      <c r="T9" s="46">
        <v>270</v>
      </c>
      <c r="U9" s="47">
        <v>2975</v>
      </c>
      <c r="V9" s="23">
        <v>24</v>
      </c>
      <c r="W9" s="38">
        <v>0</v>
      </c>
      <c r="X9" s="38">
        <v>0</v>
      </c>
      <c r="Y9" s="38">
        <v>24</v>
      </c>
      <c r="Z9" s="38">
        <v>0</v>
      </c>
      <c r="AA9" s="44">
        <v>0</v>
      </c>
      <c r="AB9" s="44">
        <v>0</v>
      </c>
      <c r="AC9" s="52" t="s">
        <v>133</v>
      </c>
      <c r="AD9" s="19" t="s">
        <v>184</v>
      </c>
      <c r="AE9" s="40"/>
      <c r="AF9" s="40">
        <v>0</v>
      </c>
      <c r="AG9" s="19">
        <v>0</v>
      </c>
      <c r="AH9" s="21">
        <v>0</v>
      </c>
      <c r="AI9" s="21">
        <v>0</v>
      </c>
      <c r="AJ9" s="21">
        <v>1.6</v>
      </c>
      <c r="AK9" s="21">
        <v>0</v>
      </c>
      <c r="AL9" s="24">
        <f t="shared" si="0"/>
        <v>1.6</v>
      </c>
      <c r="AM9" s="12"/>
      <c r="AN9" s="12"/>
      <c r="AO9" s="12"/>
      <c r="AP9" s="12"/>
      <c r="AQ9" s="55">
        <f t="shared" si="1"/>
        <v>298.5</v>
      </c>
      <c r="AR9" s="21"/>
      <c r="AS9" s="12">
        <v>292</v>
      </c>
      <c r="AT9" s="26"/>
      <c r="AU9" s="49"/>
      <c r="AV9" s="136"/>
      <c r="AW9" s="137"/>
    </row>
    <row r="10" spans="1:49" s="4" customFormat="1" ht="19.399999999999999" customHeight="1">
      <c r="A10" s="18" t="s">
        <v>134</v>
      </c>
      <c r="B10" s="18" t="s">
        <v>177</v>
      </c>
      <c r="C10" s="19" t="s">
        <v>178</v>
      </c>
      <c r="D10" s="19" t="s">
        <v>127</v>
      </c>
      <c r="E10" s="19" t="s">
        <v>185</v>
      </c>
      <c r="F10" s="58">
        <v>8</v>
      </c>
      <c r="G10" s="43">
        <v>22</v>
      </c>
      <c r="H10" s="44">
        <v>58.4</v>
      </c>
      <c r="I10" s="44" t="s">
        <v>38</v>
      </c>
      <c r="J10" s="43">
        <v>120</v>
      </c>
      <c r="K10" s="44">
        <v>10.4</v>
      </c>
      <c r="L10" s="44" t="s">
        <v>122</v>
      </c>
      <c r="M10" s="43" t="s">
        <v>186</v>
      </c>
      <c r="N10" s="45">
        <v>14</v>
      </c>
      <c r="O10" s="45">
        <v>2</v>
      </c>
      <c r="P10" s="45">
        <v>2</v>
      </c>
      <c r="Q10" s="45">
        <v>1</v>
      </c>
      <c r="R10" s="46">
        <v>4</v>
      </c>
      <c r="S10" s="46">
        <v>4.2</v>
      </c>
      <c r="T10" s="46">
        <v>270</v>
      </c>
      <c r="U10" s="47">
        <v>2975</v>
      </c>
      <c r="V10" s="23">
        <v>24</v>
      </c>
      <c r="W10" s="38">
        <v>0</v>
      </c>
      <c r="X10" s="38">
        <v>0</v>
      </c>
      <c r="Y10" s="38">
        <v>24</v>
      </c>
      <c r="Z10" s="38">
        <v>0</v>
      </c>
      <c r="AA10" s="44">
        <v>0</v>
      </c>
      <c r="AB10" s="44">
        <v>0</v>
      </c>
      <c r="AC10" s="52" t="s">
        <v>119</v>
      </c>
      <c r="AD10" s="19">
        <v>167</v>
      </c>
      <c r="AE10" s="40"/>
      <c r="AF10" s="40">
        <v>0</v>
      </c>
      <c r="AG10" s="19">
        <v>0</v>
      </c>
      <c r="AH10" s="21">
        <v>0</v>
      </c>
      <c r="AI10" s="21">
        <v>0</v>
      </c>
      <c r="AJ10" s="21">
        <v>1.4</v>
      </c>
      <c r="AK10" s="21">
        <v>0</v>
      </c>
      <c r="AL10" s="24">
        <f t="shared" si="0"/>
        <v>1.4</v>
      </c>
      <c r="AM10" s="12"/>
      <c r="AN10" s="12"/>
      <c r="AO10" s="12"/>
      <c r="AP10" s="12"/>
      <c r="AQ10" s="55">
        <f t="shared" si="1"/>
        <v>297.10000000000002</v>
      </c>
      <c r="AR10" s="21"/>
      <c r="AS10" s="12">
        <v>284</v>
      </c>
      <c r="AT10" s="26"/>
      <c r="AU10" s="49"/>
      <c r="AV10" s="136"/>
      <c r="AW10" s="137"/>
    </row>
    <row r="11" spans="1:49" s="4" customFormat="1" ht="19.399999999999999" customHeight="1">
      <c r="A11" s="18" t="s">
        <v>134</v>
      </c>
      <c r="B11" s="18" t="s">
        <v>190</v>
      </c>
      <c r="C11" s="19" t="s">
        <v>127</v>
      </c>
      <c r="D11" s="19" t="s">
        <v>178</v>
      </c>
      <c r="E11" s="19" t="s">
        <v>189</v>
      </c>
      <c r="F11" s="58">
        <v>8</v>
      </c>
      <c r="G11" s="43">
        <v>23</v>
      </c>
      <c r="H11" s="44">
        <v>1.5</v>
      </c>
      <c r="I11" s="44" t="s">
        <v>38</v>
      </c>
      <c r="J11" s="43">
        <v>119</v>
      </c>
      <c r="K11" s="44">
        <v>56.9</v>
      </c>
      <c r="L11" s="44" t="s">
        <v>122</v>
      </c>
      <c r="M11" s="43" t="s">
        <v>117</v>
      </c>
      <c r="N11" s="45">
        <v>15</v>
      </c>
      <c r="O11" s="45">
        <v>6</v>
      </c>
      <c r="P11" s="45">
        <v>4</v>
      </c>
      <c r="Q11" s="45">
        <v>2</v>
      </c>
      <c r="R11" s="46">
        <v>4.0999999999999996</v>
      </c>
      <c r="S11" s="46">
        <v>4.3</v>
      </c>
      <c r="T11" s="46">
        <v>270</v>
      </c>
      <c r="U11" s="47">
        <v>3059</v>
      </c>
      <c r="V11" s="23">
        <v>24</v>
      </c>
      <c r="W11" s="38">
        <v>1.4</v>
      </c>
      <c r="X11" s="38">
        <v>0.7</v>
      </c>
      <c r="Y11" s="38">
        <v>21.9</v>
      </c>
      <c r="Z11" s="38">
        <v>0</v>
      </c>
      <c r="AA11" s="44">
        <v>13.9</v>
      </c>
      <c r="AB11" s="44">
        <v>0.6</v>
      </c>
      <c r="AC11" s="52" t="s">
        <v>131</v>
      </c>
      <c r="AD11" s="19" t="s">
        <v>187</v>
      </c>
      <c r="AE11" s="40"/>
      <c r="AF11" s="40" t="s">
        <v>137</v>
      </c>
      <c r="AG11" s="19" t="s">
        <v>188</v>
      </c>
      <c r="AH11" s="21">
        <v>0.2</v>
      </c>
      <c r="AI11" s="21">
        <v>0.1</v>
      </c>
      <c r="AJ11" s="21">
        <v>1.2</v>
      </c>
      <c r="AK11" s="21">
        <v>0</v>
      </c>
      <c r="AL11" s="24">
        <f t="shared" si="0"/>
        <v>1.5</v>
      </c>
      <c r="AM11" s="12"/>
      <c r="AN11" s="12"/>
      <c r="AO11" s="12"/>
      <c r="AP11" s="12"/>
      <c r="AQ11" s="55">
        <f t="shared" si="1"/>
        <v>295.60000000000002</v>
      </c>
      <c r="AR11" s="21"/>
      <c r="AS11" s="12">
        <v>282</v>
      </c>
      <c r="AT11" s="26"/>
      <c r="AU11" s="49"/>
      <c r="AV11" s="136"/>
      <c r="AW11" s="137"/>
    </row>
    <row r="12" spans="1:49" s="4" customFormat="1" ht="19.399999999999999" customHeight="1">
      <c r="A12" s="18" t="s">
        <v>134</v>
      </c>
      <c r="B12" s="18" t="s">
        <v>190</v>
      </c>
      <c r="C12" s="19" t="s">
        <v>127</v>
      </c>
      <c r="D12" s="19" t="s">
        <v>178</v>
      </c>
      <c r="E12" s="19" t="s">
        <v>194</v>
      </c>
      <c r="F12" s="58">
        <v>8</v>
      </c>
      <c r="G12" s="43">
        <v>24</v>
      </c>
      <c r="H12" s="44">
        <v>57.4</v>
      </c>
      <c r="I12" s="44" t="s">
        <v>38</v>
      </c>
      <c r="J12" s="43">
        <v>120</v>
      </c>
      <c r="K12" s="44">
        <v>54.2</v>
      </c>
      <c r="L12" s="44" t="s">
        <v>122</v>
      </c>
      <c r="M12" s="43" t="s">
        <v>195</v>
      </c>
      <c r="N12" s="45">
        <v>15</v>
      </c>
      <c r="O12" s="45">
        <v>6</v>
      </c>
      <c r="P12" s="45">
        <v>4</v>
      </c>
      <c r="Q12" s="45">
        <v>2</v>
      </c>
      <c r="R12" s="46">
        <v>4.0999999999999996</v>
      </c>
      <c r="S12" s="46">
        <v>4.3</v>
      </c>
      <c r="T12" s="46">
        <v>270</v>
      </c>
      <c r="U12" s="47">
        <v>3059</v>
      </c>
      <c r="V12" s="23">
        <v>24</v>
      </c>
      <c r="W12" s="38">
        <v>24</v>
      </c>
      <c r="X12" s="38">
        <v>0</v>
      </c>
      <c r="Y12" s="38">
        <v>0</v>
      </c>
      <c r="Z12" s="38">
        <v>0</v>
      </c>
      <c r="AA12" s="44">
        <v>135.1</v>
      </c>
      <c r="AB12" s="44">
        <v>5.6</v>
      </c>
      <c r="AC12" s="52" t="s">
        <v>131</v>
      </c>
      <c r="AD12" s="19" t="s">
        <v>191</v>
      </c>
      <c r="AE12" s="40"/>
      <c r="AF12" s="40" t="s">
        <v>192</v>
      </c>
      <c r="AG12" s="19" t="s">
        <v>193</v>
      </c>
      <c r="AH12" s="21">
        <v>5.5</v>
      </c>
      <c r="AI12" s="21">
        <v>0</v>
      </c>
      <c r="AJ12" s="21">
        <v>0</v>
      </c>
      <c r="AK12" s="21">
        <v>0</v>
      </c>
      <c r="AL12" s="24">
        <f t="shared" si="0"/>
        <v>5.5</v>
      </c>
      <c r="AM12" s="12"/>
      <c r="AN12" s="12"/>
      <c r="AO12" s="12"/>
      <c r="AP12" s="12"/>
      <c r="AQ12" s="55">
        <f t="shared" si="1"/>
        <v>290.10000000000002</v>
      </c>
      <c r="AR12" s="21"/>
      <c r="AS12" s="12">
        <v>276</v>
      </c>
      <c r="AT12" s="26"/>
      <c r="AU12" s="49"/>
      <c r="AV12" s="136"/>
      <c r="AW12" s="137"/>
    </row>
    <row r="13" spans="1:49" s="4" customFormat="1" ht="19.399999999999999" customHeight="1">
      <c r="A13" s="18" t="s">
        <v>134</v>
      </c>
      <c r="B13" s="18" t="s">
        <v>190</v>
      </c>
      <c r="C13" s="19" t="s">
        <v>127</v>
      </c>
      <c r="D13" s="19" t="s">
        <v>178</v>
      </c>
      <c r="E13" s="19" t="s">
        <v>199</v>
      </c>
      <c r="F13" s="58">
        <v>8</v>
      </c>
      <c r="G13" s="43">
        <v>25</v>
      </c>
      <c r="H13" s="44">
        <v>16.899999999999999</v>
      </c>
      <c r="I13" s="44" t="s">
        <v>38</v>
      </c>
      <c r="J13" s="43">
        <v>121</v>
      </c>
      <c r="K13" s="44">
        <v>12</v>
      </c>
      <c r="L13" s="44" t="s">
        <v>122</v>
      </c>
      <c r="M13" s="43" t="s">
        <v>115</v>
      </c>
      <c r="N13" s="45">
        <v>15</v>
      </c>
      <c r="O13" s="45">
        <v>3</v>
      </c>
      <c r="P13" s="45">
        <v>3</v>
      </c>
      <c r="Q13" s="45">
        <v>1</v>
      </c>
      <c r="R13" s="46">
        <v>4.0999999999999996</v>
      </c>
      <c r="S13" s="46">
        <v>4.3</v>
      </c>
      <c r="T13" s="46">
        <v>270</v>
      </c>
      <c r="U13" s="47">
        <v>3059</v>
      </c>
      <c r="V13" s="23">
        <v>24</v>
      </c>
      <c r="W13" s="38">
        <v>5.5</v>
      </c>
      <c r="X13" s="38">
        <v>18.5</v>
      </c>
      <c r="Y13" s="38">
        <v>0</v>
      </c>
      <c r="Z13" s="38">
        <v>0</v>
      </c>
      <c r="AA13" s="44">
        <v>108.6</v>
      </c>
      <c r="AB13" s="44">
        <v>4.5</v>
      </c>
      <c r="AC13" s="52" t="s">
        <v>131</v>
      </c>
      <c r="AD13" s="19" t="s">
        <v>196</v>
      </c>
      <c r="AE13" s="40"/>
      <c r="AF13" s="40" t="s">
        <v>197</v>
      </c>
      <c r="AG13" s="19" t="s">
        <v>198</v>
      </c>
      <c r="AH13" s="21">
        <v>1.8</v>
      </c>
      <c r="AI13" s="21">
        <v>3</v>
      </c>
      <c r="AJ13" s="21">
        <v>0</v>
      </c>
      <c r="AK13" s="21">
        <v>0</v>
      </c>
      <c r="AL13" s="24">
        <f t="shared" si="0"/>
        <v>4.8</v>
      </c>
      <c r="AM13" s="12"/>
      <c r="AN13" s="12"/>
      <c r="AO13" s="12"/>
      <c r="AP13" s="12"/>
      <c r="AQ13" s="55">
        <f t="shared" si="1"/>
        <v>285.3</v>
      </c>
      <c r="AR13" s="21"/>
      <c r="AS13" s="12">
        <v>267</v>
      </c>
      <c r="AT13" s="26"/>
      <c r="AU13" s="49"/>
      <c r="AV13" s="136"/>
      <c r="AW13" s="137"/>
    </row>
    <row r="14" spans="1:49" s="4" customFormat="1" ht="19.399999999999999" customHeight="1">
      <c r="A14" s="18" t="s">
        <v>134</v>
      </c>
      <c r="B14" s="18" t="s">
        <v>190</v>
      </c>
      <c r="C14" s="19" t="s">
        <v>127</v>
      </c>
      <c r="D14" s="19" t="s">
        <v>178</v>
      </c>
      <c r="E14" s="19" t="s">
        <v>203</v>
      </c>
      <c r="F14" s="58">
        <v>8</v>
      </c>
      <c r="G14" s="43">
        <v>25</v>
      </c>
      <c r="H14" s="44">
        <v>12.7</v>
      </c>
      <c r="I14" s="44" t="s">
        <v>38</v>
      </c>
      <c r="J14" s="43">
        <v>121</v>
      </c>
      <c r="K14" s="44">
        <v>13.8</v>
      </c>
      <c r="L14" s="44" t="s">
        <v>122</v>
      </c>
      <c r="M14" s="43" t="s">
        <v>115</v>
      </c>
      <c r="N14" s="45">
        <v>15</v>
      </c>
      <c r="O14" s="45">
        <v>2</v>
      </c>
      <c r="P14" s="45">
        <v>2</v>
      </c>
      <c r="Q14" s="45">
        <v>1</v>
      </c>
      <c r="R14" s="46">
        <v>4.0999999999999996</v>
      </c>
      <c r="S14" s="46">
        <v>4.3</v>
      </c>
      <c r="T14" s="46">
        <v>270</v>
      </c>
      <c r="U14" s="47">
        <v>3059</v>
      </c>
      <c r="V14" s="23">
        <v>24</v>
      </c>
      <c r="W14" s="38">
        <v>0</v>
      </c>
      <c r="X14" s="38">
        <v>24</v>
      </c>
      <c r="Y14" s="38">
        <v>0</v>
      </c>
      <c r="Z14" s="38">
        <v>0</v>
      </c>
      <c r="AA14" s="44">
        <v>118.4</v>
      </c>
      <c r="AB14" s="44">
        <v>4.9000000000000004</v>
      </c>
      <c r="AC14" s="52" t="s">
        <v>131</v>
      </c>
      <c r="AD14" s="19" t="s">
        <v>200</v>
      </c>
      <c r="AE14" s="40"/>
      <c r="AF14" s="40" t="s">
        <v>201</v>
      </c>
      <c r="AG14" s="19" t="s">
        <v>202</v>
      </c>
      <c r="AH14" s="21">
        <v>0</v>
      </c>
      <c r="AI14" s="21">
        <v>5.4</v>
      </c>
      <c r="AJ14" s="21">
        <v>0</v>
      </c>
      <c r="AK14" s="21">
        <v>0</v>
      </c>
      <c r="AL14" s="24">
        <f t="shared" si="0"/>
        <v>5.4</v>
      </c>
      <c r="AM14" s="12"/>
      <c r="AN14" s="12"/>
      <c r="AO14" s="12"/>
      <c r="AP14" s="12"/>
      <c r="AQ14" s="55">
        <f t="shared" si="1"/>
        <v>279.90000000000003</v>
      </c>
      <c r="AR14" s="21"/>
      <c r="AS14" s="12">
        <v>258</v>
      </c>
      <c r="AT14" s="26"/>
      <c r="AU14" s="49"/>
      <c r="AV14" s="136"/>
      <c r="AW14" s="137"/>
    </row>
    <row r="15" spans="1:49" s="4" customFormat="1" ht="19.399999999999999" customHeight="1">
      <c r="A15" s="18" t="s">
        <v>134</v>
      </c>
      <c r="B15" s="18" t="s">
        <v>190</v>
      </c>
      <c r="C15" s="19" t="s">
        <v>127</v>
      </c>
      <c r="D15" s="19" t="s">
        <v>178</v>
      </c>
      <c r="E15" s="19" t="s">
        <v>207</v>
      </c>
      <c r="F15" s="58">
        <v>8</v>
      </c>
      <c r="G15" s="43">
        <v>25</v>
      </c>
      <c r="H15" s="44">
        <v>19.8</v>
      </c>
      <c r="I15" s="44" t="s">
        <v>38</v>
      </c>
      <c r="J15" s="43">
        <v>121</v>
      </c>
      <c r="K15" s="44">
        <v>2.8</v>
      </c>
      <c r="L15" s="44" t="s">
        <v>122</v>
      </c>
      <c r="M15" s="43" t="s">
        <v>115</v>
      </c>
      <c r="N15" s="45">
        <v>15</v>
      </c>
      <c r="O15" s="45">
        <v>2</v>
      </c>
      <c r="P15" s="45">
        <v>2</v>
      </c>
      <c r="Q15" s="45">
        <v>1</v>
      </c>
      <c r="R15" s="46">
        <v>4.0999999999999996</v>
      </c>
      <c r="S15" s="46">
        <v>4.3</v>
      </c>
      <c r="T15" s="46">
        <v>270</v>
      </c>
      <c r="U15" s="47">
        <v>3059</v>
      </c>
      <c r="V15" s="23">
        <v>24</v>
      </c>
      <c r="W15" s="38">
        <v>0</v>
      </c>
      <c r="X15" s="38">
        <v>24</v>
      </c>
      <c r="Y15" s="38">
        <v>0</v>
      </c>
      <c r="Z15" s="38">
        <v>0</v>
      </c>
      <c r="AA15" s="44">
        <v>116</v>
      </c>
      <c r="AB15" s="44">
        <v>4.8</v>
      </c>
      <c r="AC15" s="52" t="s">
        <v>130</v>
      </c>
      <c r="AD15" s="19" t="s">
        <v>204</v>
      </c>
      <c r="AE15" s="48"/>
      <c r="AF15" s="40" t="s">
        <v>205</v>
      </c>
      <c r="AG15" s="19" t="s">
        <v>206</v>
      </c>
      <c r="AH15" s="21">
        <v>0</v>
      </c>
      <c r="AI15" s="21">
        <v>6.6</v>
      </c>
      <c r="AJ15" s="21">
        <v>0</v>
      </c>
      <c r="AK15" s="21">
        <v>0</v>
      </c>
      <c r="AL15" s="24">
        <f t="shared" si="0"/>
        <v>6.6</v>
      </c>
      <c r="AM15" s="12"/>
      <c r="AN15" s="12"/>
      <c r="AO15" s="12"/>
      <c r="AP15" s="12"/>
      <c r="AQ15" s="55">
        <f t="shared" si="1"/>
        <v>273.3</v>
      </c>
      <c r="AR15" s="21"/>
      <c r="AS15" s="12">
        <v>254</v>
      </c>
      <c r="AT15" s="26"/>
      <c r="AU15" s="49"/>
      <c r="AV15" s="136"/>
      <c r="AW15" s="137"/>
    </row>
    <row r="16" spans="1:49" s="4" customFormat="1" ht="19.399999999999999" customHeight="1">
      <c r="A16" s="18" t="s">
        <v>134</v>
      </c>
      <c r="B16" s="18" t="s">
        <v>190</v>
      </c>
      <c r="C16" s="19" t="s">
        <v>127</v>
      </c>
      <c r="D16" s="19" t="s">
        <v>178</v>
      </c>
      <c r="E16" s="19" t="s">
        <v>211</v>
      </c>
      <c r="F16" s="58">
        <v>8</v>
      </c>
      <c r="G16" s="43">
        <v>25</v>
      </c>
      <c r="H16" s="44">
        <v>18.5</v>
      </c>
      <c r="I16" s="44" t="s">
        <v>38</v>
      </c>
      <c r="J16" s="43">
        <v>121</v>
      </c>
      <c r="K16" s="44">
        <v>2.4</v>
      </c>
      <c r="L16" s="44" t="s">
        <v>122</v>
      </c>
      <c r="M16" s="43" t="s">
        <v>115</v>
      </c>
      <c r="N16" s="45">
        <v>15</v>
      </c>
      <c r="O16" s="45">
        <v>5</v>
      </c>
      <c r="P16" s="45">
        <v>3</v>
      </c>
      <c r="Q16" s="45">
        <v>2</v>
      </c>
      <c r="R16" s="46">
        <v>4.0999999999999996</v>
      </c>
      <c r="S16" s="46">
        <v>4.3</v>
      </c>
      <c r="T16" s="46">
        <v>270</v>
      </c>
      <c r="U16" s="47">
        <v>3059</v>
      </c>
      <c r="V16" s="23">
        <v>24</v>
      </c>
      <c r="W16" s="38">
        <v>0</v>
      </c>
      <c r="X16" s="38">
        <v>24</v>
      </c>
      <c r="Y16" s="38">
        <v>0</v>
      </c>
      <c r="Z16" s="38">
        <v>0</v>
      </c>
      <c r="AA16" s="44">
        <v>108.5</v>
      </c>
      <c r="AB16" s="44">
        <v>4.5</v>
      </c>
      <c r="AC16" s="52" t="s">
        <v>130</v>
      </c>
      <c r="AD16" s="19" t="s">
        <v>208</v>
      </c>
      <c r="AE16" s="48"/>
      <c r="AF16" s="40" t="s">
        <v>209</v>
      </c>
      <c r="AG16" s="19" t="s">
        <v>210</v>
      </c>
      <c r="AH16" s="21">
        <v>0</v>
      </c>
      <c r="AI16" s="21">
        <v>5.8</v>
      </c>
      <c r="AJ16" s="21">
        <v>0</v>
      </c>
      <c r="AK16" s="21">
        <v>0</v>
      </c>
      <c r="AL16" s="24">
        <f t="shared" si="0"/>
        <v>5.8</v>
      </c>
      <c r="AM16" s="12"/>
      <c r="AN16" s="12"/>
      <c r="AO16" s="12"/>
      <c r="AP16" s="12"/>
      <c r="AQ16" s="55">
        <f t="shared" si="1"/>
        <v>267.5</v>
      </c>
      <c r="AR16" s="21"/>
      <c r="AS16" s="12">
        <v>247</v>
      </c>
      <c r="AT16" s="26"/>
      <c r="AU16" s="49"/>
      <c r="AV16" s="136"/>
      <c r="AW16" s="137"/>
    </row>
    <row r="17" spans="1:49" s="4" customFormat="1" ht="19.399999999999999" customHeight="1">
      <c r="A17" s="18" t="s">
        <v>134</v>
      </c>
      <c r="B17" s="18" t="s">
        <v>190</v>
      </c>
      <c r="C17" s="19" t="s">
        <v>127</v>
      </c>
      <c r="D17" s="19" t="s">
        <v>178</v>
      </c>
      <c r="E17" s="19" t="s">
        <v>213</v>
      </c>
      <c r="F17" s="58">
        <v>8</v>
      </c>
      <c r="G17" s="43">
        <v>23</v>
      </c>
      <c r="H17" s="44">
        <v>55.7</v>
      </c>
      <c r="I17" s="44" t="s">
        <v>38</v>
      </c>
      <c r="J17" s="43">
        <v>121</v>
      </c>
      <c r="K17" s="44">
        <v>38.6</v>
      </c>
      <c r="L17" s="44" t="s">
        <v>122</v>
      </c>
      <c r="M17" s="43" t="s">
        <v>115</v>
      </c>
      <c r="N17" s="45">
        <v>10</v>
      </c>
      <c r="O17" s="45">
        <v>2</v>
      </c>
      <c r="P17" s="45">
        <v>2</v>
      </c>
      <c r="Q17" s="45">
        <v>1</v>
      </c>
      <c r="R17" s="46">
        <v>4.0999999999999996</v>
      </c>
      <c r="S17" s="46">
        <v>4.3</v>
      </c>
      <c r="T17" s="46">
        <v>270</v>
      </c>
      <c r="U17" s="47">
        <v>3059</v>
      </c>
      <c r="V17" s="23">
        <v>24</v>
      </c>
      <c r="W17" s="38">
        <v>20.9</v>
      </c>
      <c r="X17" s="38">
        <v>3.1</v>
      </c>
      <c r="Y17" s="38">
        <v>0</v>
      </c>
      <c r="Z17" s="38">
        <v>0</v>
      </c>
      <c r="AA17" s="44">
        <v>154.19999999999999</v>
      </c>
      <c r="AB17" s="44">
        <v>6.4</v>
      </c>
      <c r="AC17" s="52" t="s">
        <v>130</v>
      </c>
      <c r="AD17" s="19" t="s">
        <v>212</v>
      </c>
      <c r="AE17" s="48"/>
      <c r="AF17" s="40" t="s">
        <v>137</v>
      </c>
      <c r="AG17" s="19" t="s">
        <v>146</v>
      </c>
      <c r="AH17" s="21">
        <v>4</v>
      </c>
      <c r="AI17" s="21">
        <v>1.5</v>
      </c>
      <c r="AJ17" s="21">
        <v>0</v>
      </c>
      <c r="AK17" s="21">
        <v>0</v>
      </c>
      <c r="AL17" s="24">
        <f t="shared" si="0"/>
        <v>5.5</v>
      </c>
      <c r="AM17" s="12"/>
      <c r="AN17" s="12"/>
      <c r="AO17" s="12"/>
      <c r="AP17" s="12"/>
      <c r="AQ17" s="55">
        <f t="shared" si="1"/>
        <v>262</v>
      </c>
      <c r="AR17" s="21"/>
      <c r="AS17" s="12">
        <v>239</v>
      </c>
      <c r="AT17" s="26"/>
      <c r="AU17" s="49"/>
      <c r="AV17" s="136"/>
      <c r="AW17" s="137"/>
    </row>
    <row r="18" spans="1:49" s="4" customFormat="1" ht="19.399999999999999" customHeight="1">
      <c r="A18" s="18" t="s">
        <v>134</v>
      </c>
      <c r="B18" s="18" t="s">
        <v>190</v>
      </c>
      <c r="C18" s="19" t="s">
        <v>127</v>
      </c>
      <c r="D18" s="19" t="s">
        <v>178</v>
      </c>
      <c r="E18" s="19" t="s">
        <v>215</v>
      </c>
      <c r="F18" s="58">
        <v>8</v>
      </c>
      <c r="G18" s="43">
        <v>23</v>
      </c>
      <c r="H18" s="44">
        <v>46.5</v>
      </c>
      <c r="I18" s="44" t="s">
        <v>38</v>
      </c>
      <c r="J18" s="43">
        <v>121</v>
      </c>
      <c r="K18" s="44">
        <v>40.200000000000003</v>
      </c>
      <c r="L18" s="44" t="s">
        <v>122</v>
      </c>
      <c r="M18" s="43" t="s">
        <v>115</v>
      </c>
      <c r="N18" s="45">
        <v>10</v>
      </c>
      <c r="O18" s="45">
        <v>3</v>
      </c>
      <c r="P18" s="45">
        <v>2</v>
      </c>
      <c r="Q18" s="45">
        <v>1</v>
      </c>
      <c r="R18" s="46">
        <v>4.0999999999999996</v>
      </c>
      <c r="S18" s="46">
        <v>4.3</v>
      </c>
      <c r="T18" s="46">
        <v>270</v>
      </c>
      <c r="U18" s="47">
        <v>3059</v>
      </c>
      <c r="V18" s="23">
        <v>24</v>
      </c>
      <c r="W18" s="38">
        <v>0</v>
      </c>
      <c r="X18" s="38">
        <v>24</v>
      </c>
      <c r="Y18" s="38">
        <v>0</v>
      </c>
      <c r="Z18" s="38">
        <v>0</v>
      </c>
      <c r="AA18" s="44">
        <v>116.6</v>
      </c>
      <c r="AB18" s="44">
        <v>4.8</v>
      </c>
      <c r="AC18" s="52" t="s">
        <v>130</v>
      </c>
      <c r="AD18" s="19" t="s">
        <v>214</v>
      </c>
      <c r="AE18" s="48"/>
      <c r="AF18" s="40" t="s">
        <v>159</v>
      </c>
      <c r="AG18" s="19" t="s">
        <v>193</v>
      </c>
      <c r="AH18" s="21">
        <v>0</v>
      </c>
      <c r="AI18" s="21">
        <v>4.5</v>
      </c>
      <c r="AJ18" s="21">
        <v>0</v>
      </c>
      <c r="AK18" s="21">
        <v>0</v>
      </c>
      <c r="AL18" s="24">
        <f t="shared" si="0"/>
        <v>4.5</v>
      </c>
      <c r="AM18" s="12"/>
      <c r="AN18" s="12"/>
      <c r="AO18" s="12"/>
      <c r="AP18" s="12"/>
      <c r="AQ18" s="55">
        <f t="shared" si="1"/>
        <v>257.5</v>
      </c>
      <c r="AR18" s="21"/>
      <c r="AS18" s="12">
        <v>233</v>
      </c>
      <c r="AT18" s="26"/>
      <c r="AU18" s="49"/>
      <c r="AV18" s="136"/>
      <c r="AW18" s="137"/>
    </row>
    <row r="19" spans="1:49" s="4" customFormat="1" ht="19.399999999999999" customHeight="1">
      <c r="A19" s="18" t="s">
        <v>134</v>
      </c>
      <c r="B19" s="18" t="s">
        <v>190</v>
      </c>
      <c r="C19" s="19" t="s">
        <v>127</v>
      </c>
      <c r="D19" s="19" t="s">
        <v>178</v>
      </c>
      <c r="E19" s="19" t="s">
        <v>216</v>
      </c>
      <c r="F19" s="58">
        <v>8</v>
      </c>
      <c r="G19" s="43">
        <v>24</v>
      </c>
      <c r="H19" s="44">
        <v>0.1</v>
      </c>
      <c r="I19" s="44" t="s">
        <v>38</v>
      </c>
      <c r="J19" s="43">
        <v>121</v>
      </c>
      <c r="K19" s="44">
        <v>38.299999999999997</v>
      </c>
      <c r="L19" s="44" t="s">
        <v>122</v>
      </c>
      <c r="M19" s="43" t="s">
        <v>115</v>
      </c>
      <c r="N19" s="45">
        <v>10</v>
      </c>
      <c r="O19" s="45">
        <v>2</v>
      </c>
      <c r="P19" s="45">
        <v>2</v>
      </c>
      <c r="Q19" s="45">
        <v>1</v>
      </c>
      <c r="R19" s="46">
        <v>4.0999999999999996</v>
      </c>
      <c r="S19" s="46">
        <v>4.3</v>
      </c>
      <c r="T19" s="46">
        <v>270</v>
      </c>
      <c r="U19" s="47">
        <v>3059</v>
      </c>
      <c r="V19" s="23">
        <v>24</v>
      </c>
      <c r="W19" s="38">
        <v>0</v>
      </c>
      <c r="X19" s="38">
        <v>3.6</v>
      </c>
      <c r="Y19" s="38">
        <v>20.399999999999999</v>
      </c>
      <c r="Z19" s="38">
        <v>0</v>
      </c>
      <c r="AA19" s="44">
        <v>18.3</v>
      </c>
      <c r="AB19" s="44">
        <v>0.8</v>
      </c>
      <c r="AC19" s="42" t="s">
        <v>113</v>
      </c>
      <c r="AD19" s="19">
        <v>236</v>
      </c>
      <c r="AE19" s="48"/>
      <c r="AF19" s="40">
        <v>0</v>
      </c>
      <c r="AG19" s="19">
        <v>0</v>
      </c>
      <c r="AH19" s="21">
        <v>1</v>
      </c>
      <c r="AI19" s="21">
        <v>0</v>
      </c>
      <c r="AJ19" s="21">
        <v>1.5</v>
      </c>
      <c r="AK19" s="21">
        <v>0</v>
      </c>
      <c r="AL19" s="24">
        <f t="shared" si="0"/>
        <v>2.5</v>
      </c>
      <c r="AM19" s="12"/>
      <c r="AN19" s="12"/>
      <c r="AO19" s="12"/>
      <c r="AP19" s="12"/>
      <c r="AQ19" s="55">
        <f t="shared" si="1"/>
        <v>255</v>
      </c>
      <c r="AR19" s="21"/>
      <c r="AS19" s="12">
        <v>225</v>
      </c>
      <c r="AT19" s="26"/>
      <c r="AU19" s="49"/>
      <c r="AV19" s="136"/>
      <c r="AW19" s="137"/>
    </row>
    <row r="20" spans="1:49" s="4" customFormat="1" ht="19.399999999999999" customHeight="1">
      <c r="A20" s="18" t="s">
        <v>134</v>
      </c>
      <c r="B20" s="18" t="s">
        <v>190</v>
      </c>
      <c r="C20" s="19" t="s">
        <v>178</v>
      </c>
      <c r="D20" s="19" t="s">
        <v>127</v>
      </c>
      <c r="E20" s="19" t="s">
        <v>220</v>
      </c>
      <c r="F20" s="58">
        <v>8</v>
      </c>
      <c r="G20" s="43">
        <v>22</v>
      </c>
      <c r="H20" s="44">
        <v>48.1</v>
      </c>
      <c r="I20" s="44" t="s">
        <v>38</v>
      </c>
      <c r="J20" s="43">
        <v>121</v>
      </c>
      <c r="K20" s="44">
        <v>20.2</v>
      </c>
      <c r="L20" s="44" t="s">
        <v>122</v>
      </c>
      <c r="M20" s="43" t="s">
        <v>115</v>
      </c>
      <c r="N20" s="45">
        <v>2</v>
      </c>
      <c r="O20" s="45">
        <v>8</v>
      </c>
      <c r="P20" s="45">
        <v>4</v>
      </c>
      <c r="Q20" s="45">
        <v>3</v>
      </c>
      <c r="R20" s="46">
        <v>3.9</v>
      </c>
      <c r="S20" s="46">
        <v>4.3</v>
      </c>
      <c r="T20" s="46">
        <v>270</v>
      </c>
      <c r="U20" s="47">
        <v>3059</v>
      </c>
      <c r="V20" s="23">
        <v>24</v>
      </c>
      <c r="W20" s="38">
        <v>12.3</v>
      </c>
      <c r="X20" s="38">
        <v>5.6</v>
      </c>
      <c r="Y20" s="38">
        <v>6.1</v>
      </c>
      <c r="Z20" s="38">
        <v>0</v>
      </c>
      <c r="AA20" s="44">
        <v>94.5</v>
      </c>
      <c r="AB20" s="44">
        <v>3.9</v>
      </c>
      <c r="AC20" s="52" t="s">
        <v>130</v>
      </c>
      <c r="AD20" s="19" t="s">
        <v>217</v>
      </c>
      <c r="AE20" s="48"/>
      <c r="AF20" s="40" t="s">
        <v>218</v>
      </c>
      <c r="AG20" s="19" t="s">
        <v>219</v>
      </c>
      <c r="AH20" s="21">
        <v>2.6</v>
      </c>
      <c r="AI20" s="21">
        <v>1.2</v>
      </c>
      <c r="AJ20" s="21">
        <v>0.4</v>
      </c>
      <c r="AK20" s="21">
        <v>0</v>
      </c>
      <c r="AL20" s="24">
        <f t="shared" si="0"/>
        <v>4.2</v>
      </c>
      <c r="AM20" s="12"/>
      <c r="AN20" s="12"/>
      <c r="AO20" s="12"/>
      <c r="AP20" s="12"/>
      <c r="AQ20" s="55">
        <f t="shared" si="1"/>
        <v>250.8</v>
      </c>
      <c r="AR20" s="21"/>
      <c r="AS20" s="12">
        <v>221</v>
      </c>
      <c r="AT20" s="26"/>
      <c r="AU20" s="49"/>
      <c r="AV20" s="136"/>
      <c r="AW20" s="137"/>
    </row>
    <row r="21" spans="1:49" s="4" customFormat="1" ht="19.399999999999999" customHeight="1">
      <c r="A21" s="18" t="s">
        <v>134</v>
      </c>
      <c r="B21" s="18" t="s">
        <v>190</v>
      </c>
      <c r="C21" s="19" t="s">
        <v>178</v>
      </c>
      <c r="D21" s="19" t="s">
        <v>127</v>
      </c>
      <c r="E21" s="19" t="s">
        <v>224</v>
      </c>
      <c r="F21" s="58">
        <v>8</v>
      </c>
      <c r="G21" s="43">
        <v>22</v>
      </c>
      <c r="H21" s="44">
        <v>3.8</v>
      </c>
      <c r="I21" s="44" t="s">
        <v>38</v>
      </c>
      <c r="J21" s="43">
        <v>120</v>
      </c>
      <c r="K21" s="44">
        <v>35.799999999999997</v>
      </c>
      <c r="L21" s="44" t="s">
        <v>122</v>
      </c>
      <c r="M21" s="43" t="s">
        <v>115</v>
      </c>
      <c r="N21" s="45">
        <v>2</v>
      </c>
      <c r="O21" s="45">
        <v>6</v>
      </c>
      <c r="P21" s="45">
        <v>4</v>
      </c>
      <c r="Q21" s="45">
        <v>3</v>
      </c>
      <c r="R21" s="46">
        <v>3.9</v>
      </c>
      <c r="S21" s="46">
        <v>4.3</v>
      </c>
      <c r="T21" s="46">
        <v>270</v>
      </c>
      <c r="U21" s="47">
        <v>3059</v>
      </c>
      <c r="V21" s="23">
        <v>24</v>
      </c>
      <c r="W21" s="38">
        <v>13.5</v>
      </c>
      <c r="X21" s="38">
        <v>10.5</v>
      </c>
      <c r="Y21" s="38">
        <v>0</v>
      </c>
      <c r="Z21" s="38">
        <v>0</v>
      </c>
      <c r="AA21" s="44">
        <v>147.19999999999999</v>
      </c>
      <c r="AB21" s="44">
        <v>6.1</v>
      </c>
      <c r="AC21" s="52" t="s">
        <v>130</v>
      </c>
      <c r="AD21" s="19" t="s">
        <v>221</v>
      </c>
      <c r="AE21" s="48"/>
      <c r="AF21" s="40" t="s">
        <v>222</v>
      </c>
      <c r="AG21" s="19" t="s">
        <v>223</v>
      </c>
      <c r="AH21" s="21">
        <v>3.1</v>
      </c>
      <c r="AI21" s="21">
        <v>2.5</v>
      </c>
      <c r="AJ21" s="21">
        <v>0</v>
      </c>
      <c r="AK21" s="21">
        <v>0</v>
      </c>
      <c r="AL21" s="24">
        <f t="shared" si="0"/>
        <v>5.6</v>
      </c>
      <c r="AM21" s="12"/>
      <c r="AN21" s="12"/>
      <c r="AO21" s="12"/>
      <c r="AP21" s="12"/>
      <c r="AQ21" s="55">
        <f t="shared" si="1"/>
        <v>245.20000000000002</v>
      </c>
      <c r="AR21" s="21"/>
      <c r="AS21" s="12">
        <v>214</v>
      </c>
      <c r="AT21" s="26"/>
      <c r="AU21" s="49"/>
      <c r="AV21" s="136"/>
      <c r="AW21" s="137"/>
    </row>
    <row r="22" spans="1:49" s="4" customFormat="1" ht="19.399999999999999" customHeight="1">
      <c r="A22" s="18" t="s">
        <v>134</v>
      </c>
      <c r="B22" s="18" t="s">
        <v>190</v>
      </c>
      <c r="C22" s="19" t="s">
        <v>178</v>
      </c>
      <c r="D22" s="19" t="s">
        <v>127</v>
      </c>
      <c r="E22" s="19" t="s">
        <v>228</v>
      </c>
      <c r="F22" s="58">
        <v>8</v>
      </c>
      <c r="G22" s="43">
        <v>22</v>
      </c>
      <c r="H22" s="44">
        <v>2.2000000000000002</v>
      </c>
      <c r="I22" s="44" t="s">
        <v>38</v>
      </c>
      <c r="J22" s="43">
        <v>120</v>
      </c>
      <c r="K22" s="44">
        <v>35.799999999999997</v>
      </c>
      <c r="L22" s="44" t="s">
        <v>122</v>
      </c>
      <c r="M22" s="43" t="s">
        <v>115</v>
      </c>
      <c r="N22" s="45">
        <v>2</v>
      </c>
      <c r="O22" s="45">
        <v>7</v>
      </c>
      <c r="P22" s="45">
        <v>4</v>
      </c>
      <c r="Q22" s="45">
        <v>3</v>
      </c>
      <c r="R22" s="46">
        <v>3.9</v>
      </c>
      <c r="S22" s="46">
        <v>4.3</v>
      </c>
      <c r="T22" s="46">
        <v>270</v>
      </c>
      <c r="U22" s="47">
        <v>3059</v>
      </c>
      <c r="V22" s="23">
        <v>24</v>
      </c>
      <c r="W22" s="38">
        <v>0</v>
      </c>
      <c r="X22" s="38">
        <v>24</v>
      </c>
      <c r="Y22" s="38">
        <v>0</v>
      </c>
      <c r="Z22" s="38">
        <v>0</v>
      </c>
      <c r="AA22" s="44">
        <v>118.5</v>
      </c>
      <c r="AB22" s="44">
        <v>4.9000000000000004</v>
      </c>
      <c r="AC22" s="52" t="s">
        <v>130</v>
      </c>
      <c r="AD22" s="19" t="s">
        <v>225</v>
      </c>
      <c r="AE22" s="48"/>
      <c r="AF22" s="40" t="s">
        <v>226</v>
      </c>
      <c r="AG22" s="19" t="s">
        <v>227</v>
      </c>
      <c r="AH22" s="21">
        <v>0</v>
      </c>
      <c r="AI22" s="21">
        <v>5</v>
      </c>
      <c r="AJ22" s="21">
        <v>0</v>
      </c>
      <c r="AK22" s="21">
        <v>0</v>
      </c>
      <c r="AL22" s="24">
        <f t="shared" si="0"/>
        <v>5</v>
      </c>
      <c r="AM22" s="12"/>
      <c r="AN22" s="12"/>
      <c r="AO22" s="12"/>
      <c r="AP22" s="12"/>
      <c r="AQ22" s="55">
        <f t="shared" si="1"/>
        <v>240.20000000000002</v>
      </c>
      <c r="AR22" s="21"/>
      <c r="AS22" s="12">
        <v>206</v>
      </c>
      <c r="AT22" s="26"/>
      <c r="AU22" s="49"/>
      <c r="AV22" s="136"/>
      <c r="AW22" s="137"/>
    </row>
    <row r="23" spans="1:49" s="4" customFormat="1" ht="19.399999999999999" customHeight="1">
      <c r="A23" s="18" t="s">
        <v>134</v>
      </c>
      <c r="B23" s="18" t="s">
        <v>190</v>
      </c>
      <c r="C23" s="19" t="s">
        <v>178</v>
      </c>
      <c r="D23" s="19" t="s">
        <v>127</v>
      </c>
      <c r="E23" s="19" t="s">
        <v>232</v>
      </c>
      <c r="F23" s="58">
        <v>8</v>
      </c>
      <c r="G23" s="43">
        <v>22</v>
      </c>
      <c r="H23" s="44">
        <v>9.6999999999999993</v>
      </c>
      <c r="I23" s="44" t="s">
        <v>38</v>
      </c>
      <c r="J23" s="43">
        <v>120</v>
      </c>
      <c r="K23" s="44">
        <v>16.600000000000001</v>
      </c>
      <c r="L23" s="44" t="s">
        <v>122</v>
      </c>
      <c r="M23" s="43" t="s">
        <v>115</v>
      </c>
      <c r="N23" s="45">
        <v>0</v>
      </c>
      <c r="O23" s="45">
        <v>4</v>
      </c>
      <c r="P23" s="45">
        <v>3</v>
      </c>
      <c r="Q23" s="45">
        <v>2</v>
      </c>
      <c r="R23" s="46">
        <v>3.9</v>
      </c>
      <c r="S23" s="46">
        <v>4.3</v>
      </c>
      <c r="T23" s="46">
        <v>270</v>
      </c>
      <c r="U23" s="47">
        <v>3059</v>
      </c>
      <c r="V23" s="23">
        <v>24</v>
      </c>
      <c r="W23" s="38">
        <v>0</v>
      </c>
      <c r="X23" s="38">
        <v>24</v>
      </c>
      <c r="Y23" s="38">
        <v>0</v>
      </c>
      <c r="Z23" s="38">
        <v>0</v>
      </c>
      <c r="AA23" s="44">
        <v>110.3</v>
      </c>
      <c r="AB23" s="44">
        <v>4.5999999999999996</v>
      </c>
      <c r="AC23" s="52" t="s">
        <v>130</v>
      </c>
      <c r="AD23" s="19" t="s">
        <v>229</v>
      </c>
      <c r="AE23" s="48"/>
      <c r="AF23" s="40" t="s">
        <v>230</v>
      </c>
      <c r="AG23" s="19" t="s">
        <v>231</v>
      </c>
      <c r="AH23" s="21">
        <v>0</v>
      </c>
      <c r="AI23" s="21">
        <v>4.7</v>
      </c>
      <c r="AJ23" s="21">
        <v>0</v>
      </c>
      <c r="AK23" s="21">
        <v>0</v>
      </c>
      <c r="AL23" s="24">
        <f t="shared" si="0"/>
        <v>4.7</v>
      </c>
      <c r="AM23" s="12"/>
      <c r="AN23" s="12"/>
      <c r="AO23" s="12"/>
      <c r="AP23" s="12"/>
      <c r="AQ23" s="55">
        <f t="shared" si="1"/>
        <v>235.50000000000003</v>
      </c>
      <c r="AR23" s="21"/>
      <c r="AS23" s="12">
        <v>195</v>
      </c>
      <c r="AT23" s="26"/>
      <c r="AU23" s="49"/>
      <c r="AV23" s="136"/>
      <c r="AW23" s="137"/>
    </row>
    <row r="24" spans="1:49" s="4" customFormat="1" ht="19.399999999999999" customHeight="1">
      <c r="A24" s="18" t="s">
        <v>134</v>
      </c>
      <c r="B24" s="18" t="s">
        <v>190</v>
      </c>
      <c r="C24" s="19" t="s">
        <v>178</v>
      </c>
      <c r="D24" s="19" t="s">
        <v>127</v>
      </c>
      <c r="E24" s="19" t="s">
        <v>235</v>
      </c>
      <c r="F24" s="58">
        <v>8</v>
      </c>
      <c r="G24" s="43">
        <v>22</v>
      </c>
      <c r="H24" s="44">
        <v>58.4</v>
      </c>
      <c r="I24" s="44" t="s">
        <v>38</v>
      </c>
      <c r="J24" s="43">
        <v>120</v>
      </c>
      <c r="K24" s="44">
        <v>10.4</v>
      </c>
      <c r="L24" s="44" t="s">
        <v>122</v>
      </c>
      <c r="M24" s="43" t="s">
        <v>115</v>
      </c>
      <c r="N24" s="45">
        <v>0</v>
      </c>
      <c r="O24" s="45">
        <v>3</v>
      </c>
      <c r="P24" s="45">
        <v>2</v>
      </c>
      <c r="Q24" s="45">
        <v>1</v>
      </c>
      <c r="R24" s="46">
        <v>3.9</v>
      </c>
      <c r="S24" s="46">
        <v>4.3</v>
      </c>
      <c r="T24" s="46">
        <v>270</v>
      </c>
      <c r="U24" s="47">
        <v>3059</v>
      </c>
      <c r="V24" s="23">
        <v>24</v>
      </c>
      <c r="W24" s="38">
        <v>6.3</v>
      </c>
      <c r="X24" s="38">
        <v>16.600000000000001</v>
      </c>
      <c r="Y24" s="38">
        <v>1.3</v>
      </c>
      <c r="Z24" s="38">
        <v>0</v>
      </c>
      <c r="AA24" s="44">
        <v>95.8</v>
      </c>
      <c r="AB24" s="44">
        <v>4</v>
      </c>
      <c r="AC24" s="52" t="s">
        <v>130</v>
      </c>
      <c r="AD24" s="19" t="s">
        <v>233</v>
      </c>
      <c r="AE24" s="48"/>
      <c r="AF24" s="40" t="s">
        <v>129</v>
      </c>
      <c r="AG24" s="19" t="s">
        <v>234</v>
      </c>
      <c r="AH24" s="21">
        <v>2</v>
      </c>
      <c r="AI24" s="21">
        <v>3.5</v>
      </c>
      <c r="AJ24" s="21">
        <v>0.3</v>
      </c>
      <c r="AK24" s="21">
        <v>0</v>
      </c>
      <c r="AL24" s="24">
        <f t="shared" si="0"/>
        <v>5.8</v>
      </c>
      <c r="AM24" s="12"/>
      <c r="AN24" s="12"/>
      <c r="AO24" s="12"/>
      <c r="AP24" s="12"/>
      <c r="AQ24" s="55">
        <f t="shared" si="1"/>
        <v>229.70000000000002</v>
      </c>
      <c r="AR24" s="21"/>
      <c r="AS24" s="12">
        <v>188</v>
      </c>
      <c r="AT24" s="26"/>
      <c r="AU24" s="49"/>
      <c r="AV24" s="136"/>
      <c r="AW24" s="137"/>
    </row>
    <row r="25" spans="1:49" s="4" customFormat="1" ht="19.399999999999999" customHeight="1">
      <c r="A25" s="18" t="s">
        <v>134</v>
      </c>
      <c r="B25" s="18" t="s">
        <v>190</v>
      </c>
      <c r="C25" s="19" t="s">
        <v>178</v>
      </c>
      <c r="D25" s="19" t="s">
        <v>127</v>
      </c>
      <c r="E25" s="19" t="s">
        <v>237</v>
      </c>
      <c r="F25" s="58">
        <v>8</v>
      </c>
      <c r="G25" s="43">
        <v>22</v>
      </c>
      <c r="H25" s="44">
        <v>58.4</v>
      </c>
      <c r="I25" s="44" t="s">
        <v>38</v>
      </c>
      <c r="J25" s="43">
        <v>120</v>
      </c>
      <c r="K25" s="44">
        <v>10.4</v>
      </c>
      <c r="L25" s="44" t="s">
        <v>122</v>
      </c>
      <c r="M25" s="43" t="s">
        <v>115</v>
      </c>
      <c r="N25" s="45">
        <v>0</v>
      </c>
      <c r="O25" s="45">
        <v>3</v>
      </c>
      <c r="P25" s="45">
        <v>2</v>
      </c>
      <c r="Q25" s="45">
        <v>1</v>
      </c>
      <c r="R25" s="46">
        <v>3.9</v>
      </c>
      <c r="S25" s="46">
        <v>4.3</v>
      </c>
      <c r="T25" s="46">
        <v>270</v>
      </c>
      <c r="U25" s="47">
        <v>3059</v>
      </c>
      <c r="V25" s="23">
        <v>24</v>
      </c>
      <c r="W25" s="38">
        <v>0</v>
      </c>
      <c r="X25" s="38">
        <v>0</v>
      </c>
      <c r="Y25" s="38">
        <v>24</v>
      </c>
      <c r="Z25" s="38">
        <v>0</v>
      </c>
      <c r="AA25" s="44">
        <v>0</v>
      </c>
      <c r="AB25" s="44">
        <v>0</v>
      </c>
      <c r="AC25" s="42" t="s">
        <v>119</v>
      </c>
      <c r="AD25" s="19">
        <v>178</v>
      </c>
      <c r="AE25" s="48"/>
      <c r="AF25" s="40">
        <v>0</v>
      </c>
      <c r="AG25" s="19">
        <v>0</v>
      </c>
      <c r="AH25" s="21">
        <v>0</v>
      </c>
      <c r="AI25" s="21">
        <v>0</v>
      </c>
      <c r="AJ25" s="21">
        <v>1.4</v>
      </c>
      <c r="AK25" s="21">
        <v>0</v>
      </c>
      <c r="AL25" s="24">
        <f t="shared" si="0"/>
        <v>1.4</v>
      </c>
      <c r="AM25" s="12"/>
      <c r="AN25" s="12"/>
      <c r="AO25" s="12"/>
      <c r="AP25" s="12"/>
      <c r="AQ25" s="55">
        <f t="shared" si="1"/>
        <v>228.3</v>
      </c>
      <c r="AR25" s="21"/>
      <c r="AS25" s="12">
        <v>183</v>
      </c>
      <c r="AT25" s="26"/>
      <c r="AU25" s="49"/>
      <c r="AV25" s="136" t="s">
        <v>236</v>
      </c>
      <c r="AW25" s="137"/>
    </row>
    <row r="26" spans="1:49" s="4" customFormat="1" ht="19.399999999999999" customHeight="1">
      <c r="A26" s="18" t="s">
        <v>134</v>
      </c>
      <c r="B26" s="18" t="s">
        <v>190</v>
      </c>
      <c r="C26" s="19" t="s">
        <v>178</v>
      </c>
      <c r="D26" s="19" t="s">
        <v>127</v>
      </c>
      <c r="E26" s="19" t="s">
        <v>238</v>
      </c>
      <c r="F26" s="58">
        <v>8</v>
      </c>
      <c r="G26" s="43">
        <v>22</v>
      </c>
      <c r="H26" s="44">
        <v>58.4</v>
      </c>
      <c r="I26" s="44" t="s">
        <v>38</v>
      </c>
      <c r="J26" s="43">
        <v>120</v>
      </c>
      <c r="K26" s="44">
        <v>10.4</v>
      </c>
      <c r="L26" s="44" t="s">
        <v>122</v>
      </c>
      <c r="M26" s="43" t="s">
        <v>115</v>
      </c>
      <c r="N26" s="45">
        <v>0</v>
      </c>
      <c r="O26" s="45">
        <v>3</v>
      </c>
      <c r="P26" s="45">
        <v>2</v>
      </c>
      <c r="Q26" s="45">
        <v>1</v>
      </c>
      <c r="R26" s="46">
        <v>3.9</v>
      </c>
      <c r="S26" s="46">
        <v>4.3</v>
      </c>
      <c r="T26" s="46">
        <v>270</v>
      </c>
      <c r="U26" s="47">
        <v>3059</v>
      </c>
      <c r="V26" s="23">
        <v>24</v>
      </c>
      <c r="W26" s="38">
        <v>0</v>
      </c>
      <c r="X26" s="38">
        <v>0</v>
      </c>
      <c r="Y26" s="38">
        <v>24</v>
      </c>
      <c r="Z26" s="38">
        <v>0</v>
      </c>
      <c r="AA26" s="44">
        <v>0</v>
      </c>
      <c r="AB26" s="44">
        <v>0</v>
      </c>
      <c r="AC26" s="42" t="s">
        <v>119</v>
      </c>
      <c r="AD26" s="13">
        <v>211</v>
      </c>
      <c r="AE26" s="20"/>
      <c r="AF26" s="13">
        <v>0</v>
      </c>
      <c r="AG26" s="20">
        <v>0</v>
      </c>
      <c r="AH26" s="20">
        <v>0</v>
      </c>
      <c r="AI26" s="20">
        <v>0</v>
      </c>
      <c r="AJ26" s="20">
        <v>1.4</v>
      </c>
      <c r="AK26" s="20">
        <v>0</v>
      </c>
      <c r="AL26" s="24">
        <f t="shared" si="0"/>
        <v>1.4</v>
      </c>
      <c r="AM26" s="12"/>
      <c r="AN26" s="12"/>
      <c r="AO26" s="20"/>
      <c r="AP26" s="12"/>
      <c r="AQ26" s="55">
        <f t="shared" si="1"/>
        <v>226.9</v>
      </c>
      <c r="AR26" s="21"/>
      <c r="AS26" s="12">
        <v>329</v>
      </c>
      <c r="AT26" s="26"/>
      <c r="AU26" s="49"/>
      <c r="AV26" s="139" t="s">
        <v>180</v>
      </c>
      <c r="AW26" s="140"/>
    </row>
    <row r="27" spans="1:49" s="4" customFormat="1" ht="19.399999999999999" customHeight="1">
      <c r="A27" s="18" t="s">
        <v>134</v>
      </c>
      <c r="B27" s="18" t="s">
        <v>190</v>
      </c>
      <c r="C27" s="19" t="s">
        <v>178</v>
      </c>
      <c r="D27" s="19" t="s">
        <v>127</v>
      </c>
      <c r="E27" s="19" t="s">
        <v>239</v>
      </c>
      <c r="F27" s="58">
        <v>8</v>
      </c>
      <c r="G27" s="43">
        <v>22</v>
      </c>
      <c r="H27" s="44">
        <v>58.4</v>
      </c>
      <c r="I27" s="44" t="s">
        <v>38</v>
      </c>
      <c r="J27" s="43">
        <v>120</v>
      </c>
      <c r="K27" s="44">
        <v>10.4</v>
      </c>
      <c r="L27" s="44" t="s">
        <v>122</v>
      </c>
      <c r="M27" s="43" t="s">
        <v>115</v>
      </c>
      <c r="N27" s="45">
        <v>0</v>
      </c>
      <c r="O27" s="45">
        <v>3</v>
      </c>
      <c r="P27" s="45">
        <v>2</v>
      </c>
      <c r="Q27" s="45">
        <v>1</v>
      </c>
      <c r="R27" s="46">
        <v>3.9</v>
      </c>
      <c r="S27" s="46">
        <v>4.3</v>
      </c>
      <c r="T27" s="46">
        <v>270</v>
      </c>
      <c r="U27" s="47">
        <v>3059</v>
      </c>
      <c r="V27" s="23">
        <v>24</v>
      </c>
      <c r="W27" s="38">
        <v>0</v>
      </c>
      <c r="X27" s="38">
        <v>0</v>
      </c>
      <c r="Y27" s="38">
        <v>24</v>
      </c>
      <c r="Z27" s="38">
        <v>0</v>
      </c>
      <c r="AA27" s="44">
        <v>0</v>
      </c>
      <c r="AB27" s="44">
        <v>0</v>
      </c>
      <c r="AC27" s="42" t="s">
        <v>119</v>
      </c>
      <c r="AD27" s="13">
        <v>210</v>
      </c>
      <c r="AE27" s="20"/>
      <c r="AF27" s="13">
        <v>0</v>
      </c>
      <c r="AG27" s="20">
        <v>0</v>
      </c>
      <c r="AH27" s="20">
        <v>0</v>
      </c>
      <c r="AI27" s="20">
        <v>0</v>
      </c>
      <c r="AJ27" s="20">
        <v>1.6</v>
      </c>
      <c r="AK27" s="20">
        <v>0</v>
      </c>
      <c r="AL27" s="24">
        <f t="shared" si="0"/>
        <v>1.6</v>
      </c>
      <c r="AM27" s="12"/>
      <c r="AN27" s="12"/>
      <c r="AO27" s="12"/>
      <c r="AP27" s="12"/>
      <c r="AQ27" s="55">
        <f t="shared" si="1"/>
        <v>225.3</v>
      </c>
      <c r="AR27" s="21"/>
      <c r="AS27" s="12">
        <v>326</v>
      </c>
      <c r="AT27" s="26"/>
      <c r="AU27" s="49"/>
      <c r="AV27" s="136"/>
      <c r="AW27" s="137"/>
    </row>
    <row r="28" spans="1:49" s="4" customFormat="1" ht="19.399999999999999" customHeight="1">
      <c r="A28" s="18" t="s">
        <v>134</v>
      </c>
      <c r="B28" s="18" t="s">
        <v>190</v>
      </c>
      <c r="C28" s="19" t="s">
        <v>178</v>
      </c>
      <c r="D28" s="19" t="s">
        <v>127</v>
      </c>
      <c r="E28" s="19" t="s">
        <v>240</v>
      </c>
      <c r="F28" s="58">
        <v>8</v>
      </c>
      <c r="G28" s="43">
        <v>22</v>
      </c>
      <c r="H28" s="44">
        <v>58.4</v>
      </c>
      <c r="I28" s="44" t="s">
        <v>38</v>
      </c>
      <c r="J28" s="43">
        <v>120</v>
      </c>
      <c r="K28" s="44">
        <v>10.4</v>
      </c>
      <c r="L28" s="44" t="s">
        <v>122</v>
      </c>
      <c r="M28" s="43" t="s">
        <v>115</v>
      </c>
      <c r="N28" s="45">
        <v>0</v>
      </c>
      <c r="O28" s="45">
        <v>3</v>
      </c>
      <c r="P28" s="45">
        <v>2</v>
      </c>
      <c r="Q28" s="45">
        <v>1</v>
      </c>
      <c r="R28" s="46">
        <v>3.9</v>
      </c>
      <c r="S28" s="46">
        <v>4.3</v>
      </c>
      <c r="T28" s="46">
        <v>270</v>
      </c>
      <c r="U28" s="47">
        <v>3059</v>
      </c>
      <c r="V28" s="23">
        <v>24</v>
      </c>
      <c r="W28" s="38">
        <v>0</v>
      </c>
      <c r="X28" s="38">
        <v>0</v>
      </c>
      <c r="Y28" s="38">
        <v>24</v>
      </c>
      <c r="Z28" s="38">
        <v>0</v>
      </c>
      <c r="AA28" s="44">
        <v>0</v>
      </c>
      <c r="AB28" s="44">
        <v>0</v>
      </c>
      <c r="AC28" s="42" t="s">
        <v>119</v>
      </c>
      <c r="AD28" s="13">
        <v>189</v>
      </c>
      <c r="AE28" s="20"/>
      <c r="AF28" s="20">
        <v>0</v>
      </c>
      <c r="AG28" s="20">
        <v>0</v>
      </c>
      <c r="AH28" s="20">
        <v>0</v>
      </c>
      <c r="AI28" s="20">
        <v>0</v>
      </c>
      <c r="AJ28" s="20">
        <v>1.8</v>
      </c>
      <c r="AK28" s="20">
        <v>0</v>
      </c>
      <c r="AL28" s="24">
        <f t="shared" si="0"/>
        <v>1.8</v>
      </c>
      <c r="AM28" s="12"/>
      <c r="AN28" s="12"/>
      <c r="AO28" s="12"/>
      <c r="AP28" s="12"/>
      <c r="AQ28" s="55">
        <f t="shared" si="1"/>
        <v>223.5</v>
      </c>
      <c r="AR28" s="21"/>
      <c r="AS28" s="12">
        <v>322</v>
      </c>
      <c r="AT28" s="26"/>
      <c r="AU28" s="49"/>
      <c r="AV28" s="136"/>
      <c r="AW28" s="137"/>
    </row>
    <row r="29" spans="1:49" s="4" customFormat="1" ht="19.399999999999999" customHeight="1">
      <c r="A29" s="18" t="s">
        <v>134</v>
      </c>
      <c r="B29" s="18" t="s">
        <v>190</v>
      </c>
      <c r="C29" s="19" t="s">
        <v>178</v>
      </c>
      <c r="D29" s="19" t="s">
        <v>127</v>
      </c>
      <c r="E29" s="19" t="s">
        <v>241</v>
      </c>
      <c r="F29" s="58">
        <v>8</v>
      </c>
      <c r="G29" s="43">
        <v>22</v>
      </c>
      <c r="H29" s="44">
        <v>58.4</v>
      </c>
      <c r="I29" s="44" t="s">
        <v>38</v>
      </c>
      <c r="J29" s="43">
        <v>120</v>
      </c>
      <c r="K29" s="44">
        <v>10.4</v>
      </c>
      <c r="L29" s="44" t="s">
        <v>122</v>
      </c>
      <c r="M29" s="43" t="s">
        <v>115</v>
      </c>
      <c r="N29" s="45">
        <v>0</v>
      </c>
      <c r="O29" s="45">
        <v>3</v>
      </c>
      <c r="P29" s="45">
        <v>2</v>
      </c>
      <c r="Q29" s="45">
        <v>1</v>
      </c>
      <c r="R29" s="46">
        <v>3.9</v>
      </c>
      <c r="S29" s="46">
        <v>4.3</v>
      </c>
      <c r="T29" s="46">
        <v>270</v>
      </c>
      <c r="U29" s="47">
        <v>3059</v>
      </c>
      <c r="V29" s="23">
        <v>24</v>
      </c>
      <c r="W29" s="38">
        <v>0</v>
      </c>
      <c r="X29" s="38">
        <v>0</v>
      </c>
      <c r="Y29" s="38">
        <v>24</v>
      </c>
      <c r="Z29" s="38">
        <v>0</v>
      </c>
      <c r="AA29" s="44">
        <v>0</v>
      </c>
      <c r="AB29" s="44">
        <v>0</v>
      </c>
      <c r="AC29" s="42" t="s">
        <v>119</v>
      </c>
      <c r="AD29" s="13">
        <v>222</v>
      </c>
      <c r="AE29" s="20"/>
      <c r="AF29" s="20">
        <v>0</v>
      </c>
      <c r="AG29" s="20">
        <v>0</v>
      </c>
      <c r="AH29" s="20">
        <v>0</v>
      </c>
      <c r="AI29" s="20">
        <v>0</v>
      </c>
      <c r="AJ29" s="20">
        <v>1.3</v>
      </c>
      <c r="AK29" s="20">
        <v>0</v>
      </c>
      <c r="AL29" s="24">
        <f t="shared" si="0"/>
        <v>1.3</v>
      </c>
      <c r="AM29" s="12"/>
      <c r="AN29" s="12"/>
      <c r="AO29" s="12"/>
      <c r="AP29" s="12"/>
      <c r="AQ29" s="55">
        <f t="shared" si="1"/>
        <v>222.2</v>
      </c>
      <c r="AR29" s="21"/>
      <c r="AS29" s="12">
        <v>318</v>
      </c>
      <c r="AT29" s="26"/>
      <c r="AU29" s="49"/>
      <c r="AV29" s="136"/>
      <c r="AW29" s="137"/>
    </row>
    <row r="30" spans="1:49" s="4" customFormat="1" ht="19.399999999999999" customHeight="1">
      <c r="A30" s="18" t="s">
        <v>134</v>
      </c>
      <c r="B30" s="18" t="s">
        <v>190</v>
      </c>
      <c r="C30" s="19" t="s">
        <v>178</v>
      </c>
      <c r="D30" s="19" t="s">
        <v>127</v>
      </c>
      <c r="E30" s="19" t="s">
        <v>242</v>
      </c>
      <c r="F30" s="58">
        <v>8</v>
      </c>
      <c r="G30" s="43">
        <v>22</v>
      </c>
      <c r="H30" s="44">
        <v>58.4</v>
      </c>
      <c r="I30" s="44" t="s">
        <v>38</v>
      </c>
      <c r="J30" s="43">
        <v>120</v>
      </c>
      <c r="K30" s="44">
        <v>10.4</v>
      </c>
      <c r="L30" s="44" t="s">
        <v>122</v>
      </c>
      <c r="M30" s="43" t="s">
        <v>115</v>
      </c>
      <c r="N30" s="45">
        <v>0</v>
      </c>
      <c r="O30" s="45">
        <v>3</v>
      </c>
      <c r="P30" s="45">
        <v>2</v>
      </c>
      <c r="Q30" s="45">
        <v>1</v>
      </c>
      <c r="R30" s="46">
        <v>3.9</v>
      </c>
      <c r="S30" s="46">
        <v>4.3</v>
      </c>
      <c r="T30" s="46">
        <v>270</v>
      </c>
      <c r="U30" s="47">
        <v>3059</v>
      </c>
      <c r="V30" s="23">
        <v>24</v>
      </c>
      <c r="W30" s="38">
        <v>0</v>
      </c>
      <c r="X30" s="38">
        <v>0</v>
      </c>
      <c r="Y30" s="38">
        <v>24</v>
      </c>
      <c r="Z30" s="38">
        <v>0</v>
      </c>
      <c r="AA30" s="44">
        <v>0</v>
      </c>
      <c r="AB30" s="44">
        <v>0</v>
      </c>
      <c r="AC30" s="42" t="s">
        <v>173</v>
      </c>
      <c r="AD30" s="13">
        <v>208</v>
      </c>
      <c r="AE30" s="20"/>
      <c r="AF30" s="20">
        <v>0</v>
      </c>
      <c r="AG30" s="20">
        <v>0</v>
      </c>
      <c r="AH30" s="20">
        <v>0</v>
      </c>
      <c r="AI30" s="20">
        <v>0</v>
      </c>
      <c r="AJ30" s="20">
        <v>1.2</v>
      </c>
      <c r="AK30" s="20">
        <v>0</v>
      </c>
      <c r="AL30" s="24">
        <f t="shared" si="0"/>
        <v>1.2</v>
      </c>
      <c r="AM30" s="12"/>
      <c r="AN30" s="12"/>
      <c r="AO30" s="12"/>
      <c r="AP30" s="12"/>
      <c r="AQ30" s="55">
        <f t="shared" si="1"/>
        <v>221</v>
      </c>
      <c r="AR30" s="21"/>
      <c r="AS30" s="53">
        <v>315</v>
      </c>
      <c r="AT30" s="26"/>
      <c r="AU30" s="49"/>
      <c r="AV30" s="139"/>
      <c r="AW30" s="140"/>
    </row>
    <row r="31" spans="1:49" s="4" customFormat="1" ht="19.399999999999999" customHeight="1">
      <c r="A31" s="18" t="s">
        <v>134</v>
      </c>
      <c r="B31" s="18" t="s">
        <v>190</v>
      </c>
      <c r="C31" s="19" t="s">
        <v>178</v>
      </c>
      <c r="D31" s="19" t="s">
        <v>127</v>
      </c>
      <c r="E31" s="19" t="s">
        <v>243</v>
      </c>
      <c r="F31" s="58">
        <v>8</v>
      </c>
      <c r="G31" s="43">
        <v>22</v>
      </c>
      <c r="H31" s="44">
        <v>58.4</v>
      </c>
      <c r="I31" s="44" t="s">
        <v>38</v>
      </c>
      <c r="J31" s="43">
        <v>120</v>
      </c>
      <c r="K31" s="44">
        <v>10.4</v>
      </c>
      <c r="L31" s="44" t="s">
        <v>122</v>
      </c>
      <c r="M31" s="43" t="s">
        <v>115</v>
      </c>
      <c r="N31" s="45">
        <v>0</v>
      </c>
      <c r="O31" s="45">
        <v>3</v>
      </c>
      <c r="P31" s="45">
        <v>2</v>
      </c>
      <c r="Q31" s="45">
        <v>1</v>
      </c>
      <c r="R31" s="46">
        <v>3.9</v>
      </c>
      <c r="S31" s="46">
        <v>4.3</v>
      </c>
      <c r="T31" s="46">
        <v>270</v>
      </c>
      <c r="U31" s="47">
        <v>3059</v>
      </c>
      <c r="V31" s="23">
        <v>24</v>
      </c>
      <c r="W31" s="38">
        <v>0</v>
      </c>
      <c r="X31" s="38">
        <v>0</v>
      </c>
      <c r="Y31" s="38">
        <v>24</v>
      </c>
      <c r="Z31" s="38">
        <v>0</v>
      </c>
      <c r="AA31" s="44">
        <v>0</v>
      </c>
      <c r="AB31" s="44">
        <v>0</v>
      </c>
      <c r="AC31" s="42" t="s">
        <v>113</v>
      </c>
      <c r="AD31" s="13">
        <v>199</v>
      </c>
      <c r="AE31" s="20"/>
      <c r="AF31" s="20">
        <v>0</v>
      </c>
      <c r="AG31" s="20">
        <v>0</v>
      </c>
      <c r="AH31" s="20">
        <v>0</v>
      </c>
      <c r="AI31" s="20">
        <v>0</v>
      </c>
      <c r="AJ31" s="20">
        <v>1.3</v>
      </c>
      <c r="AK31" s="20">
        <v>0</v>
      </c>
      <c r="AL31" s="24">
        <f t="shared" si="0"/>
        <v>1.3</v>
      </c>
      <c r="AM31" s="12"/>
      <c r="AN31" s="12"/>
      <c r="AO31" s="12"/>
      <c r="AP31" s="12"/>
      <c r="AQ31" s="55">
        <f t="shared" si="1"/>
        <v>219.7</v>
      </c>
      <c r="AR31" s="21"/>
      <c r="AS31" s="12">
        <v>311</v>
      </c>
      <c r="AT31" s="26"/>
      <c r="AU31" s="49"/>
      <c r="AV31" s="139"/>
      <c r="AW31" s="140"/>
    </row>
    <row r="32" spans="1:49" s="4" customFormat="1" ht="19.399999999999999" customHeight="1">
      <c r="A32" s="18" t="s">
        <v>134</v>
      </c>
      <c r="B32" s="18" t="s">
        <v>190</v>
      </c>
      <c r="C32" s="19" t="s">
        <v>178</v>
      </c>
      <c r="D32" s="19" t="s">
        <v>127</v>
      </c>
      <c r="E32" s="19" t="s">
        <v>244</v>
      </c>
      <c r="F32" s="58">
        <v>8</v>
      </c>
      <c r="G32" s="43">
        <v>22</v>
      </c>
      <c r="H32" s="44">
        <v>58.4</v>
      </c>
      <c r="I32" s="44" t="s">
        <v>38</v>
      </c>
      <c r="J32" s="43">
        <v>120</v>
      </c>
      <c r="K32" s="44">
        <v>10.4</v>
      </c>
      <c r="L32" s="44" t="s">
        <v>122</v>
      </c>
      <c r="M32" s="43" t="s">
        <v>115</v>
      </c>
      <c r="N32" s="45">
        <v>11</v>
      </c>
      <c r="O32" s="45">
        <v>3</v>
      </c>
      <c r="P32" s="45">
        <v>2</v>
      </c>
      <c r="Q32" s="45">
        <v>1</v>
      </c>
      <c r="R32" s="46">
        <v>3.9</v>
      </c>
      <c r="S32" s="46">
        <v>4.3</v>
      </c>
      <c r="T32" s="46">
        <v>270</v>
      </c>
      <c r="U32" s="47">
        <v>3059</v>
      </c>
      <c r="V32" s="23">
        <v>24</v>
      </c>
      <c r="W32" s="38">
        <v>0</v>
      </c>
      <c r="X32" s="38">
        <v>0</v>
      </c>
      <c r="Y32" s="38">
        <v>24</v>
      </c>
      <c r="Z32" s="38">
        <v>0</v>
      </c>
      <c r="AA32" s="44">
        <v>0</v>
      </c>
      <c r="AB32" s="44">
        <v>0</v>
      </c>
      <c r="AC32" s="42" t="s">
        <v>113</v>
      </c>
      <c r="AD32" s="43">
        <v>230</v>
      </c>
      <c r="AE32" s="40"/>
      <c r="AF32" s="20">
        <v>0</v>
      </c>
      <c r="AG32" s="20">
        <v>0</v>
      </c>
      <c r="AH32" s="20">
        <v>0</v>
      </c>
      <c r="AI32" s="20">
        <v>0</v>
      </c>
      <c r="AJ32" s="20">
        <v>1.4</v>
      </c>
      <c r="AK32" s="20">
        <v>0</v>
      </c>
      <c r="AL32" s="24">
        <f t="shared" si="0"/>
        <v>1.4</v>
      </c>
      <c r="AM32" s="12"/>
      <c r="AN32" s="12"/>
      <c r="AO32" s="12"/>
      <c r="AP32" s="12"/>
      <c r="AQ32" s="55">
        <f t="shared" si="1"/>
        <v>218.29999999999998</v>
      </c>
      <c r="AR32" s="38"/>
      <c r="AS32" s="38">
        <v>308</v>
      </c>
      <c r="AT32" s="26"/>
      <c r="AU32" s="49"/>
      <c r="AV32" s="139"/>
      <c r="AW32" s="140"/>
    </row>
    <row r="33" spans="1:49" s="4" customFormat="1" ht="19.399999999999999" customHeight="1">
      <c r="A33" s="18" t="s">
        <v>134</v>
      </c>
      <c r="B33" s="18" t="s">
        <v>190</v>
      </c>
      <c r="C33" s="19" t="s">
        <v>178</v>
      </c>
      <c r="D33" s="19" t="s">
        <v>127</v>
      </c>
      <c r="E33" s="19" t="s">
        <v>245</v>
      </c>
      <c r="F33" s="58">
        <v>8</v>
      </c>
      <c r="G33" s="43">
        <v>22</v>
      </c>
      <c r="H33" s="44">
        <v>58.4</v>
      </c>
      <c r="I33" s="44" t="s">
        <v>38</v>
      </c>
      <c r="J33" s="43">
        <v>120</v>
      </c>
      <c r="K33" s="44">
        <v>10.4</v>
      </c>
      <c r="L33" s="44" t="s">
        <v>122</v>
      </c>
      <c r="M33" s="43" t="s">
        <v>115</v>
      </c>
      <c r="N33" s="45">
        <v>11</v>
      </c>
      <c r="O33" s="45">
        <v>3</v>
      </c>
      <c r="P33" s="45">
        <v>2</v>
      </c>
      <c r="Q33" s="45">
        <v>1</v>
      </c>
      <c r="R33" s="46">
        <v>3.9</v>
      </c>
      <c r="S33" s="46">
        <v>4.3</v>
      </c>
      <c r="T33" s="46">
        <v>270</v>
      </c>
      <c r="U33" s="47">
        <v>3059</v>
      </c>
      <c r="V33" s="23">
        <v>24</v>
      </c>
      <c r="W33" s="38">
        <v>0</v>
      </c>
      <c r="X33" s="38">
        <v>0</v>
      </c>
      <c r="Y33" s="38">
        <v>24</v>
      </c>
      <c r="Z33" s="38">
        <v>0</v>
      </c>
      <c r="AA33" s="44">
        <v>0</v>
      </c>
      <c r="AB33" s="44">
        <v>0</v>
      </c>
      <c r="AC33" s="42" t="s">
        <v>113</v>
      </c>
      <c r="AD33" s="43">
        <v>244</v>
      </c>
      <c r="AE33" s="40"/>
      <c r="AF33" s="40">
        <v>0</v>
      </c>
      <c r="AG33" s="40">
        <v>0</v>
      </c>
      <c r="AH33" s="38">
        <v>0</v>
      </c>
      <c r="AI33" s="38">
        <v>0</v>
      </c>
      <c r="AJ33" s="38">
        <v>1.3</v>
      </c>
      <c r="AK33" s="38">
        <v>0</v>
      </c>
      <c r="AL33" s="24">
        <f t="shared" si="0"/>
        <v>1.3</v>
      </c>
      <c r="AM33" s="12"/>
      <c r="AN33" s="12"/>
      <c r="AO33" s="12"/>
      <c r="AP33" s="12"/>
      <c r="AQ33" s="55">
        <f t="shared" si="1"/>
        <v>216.99999999999997</v>
      </c>
      <c r="AR33" s="38"/>
      <c r="AS33" s="38">
        <v>305</v>
      </c>
      <c r="AT33" s="26"/>
      <c r="AU33" s="49"/>
      <c r="AV33" s="136"/>
      <c r="AW33" s="137"/>
    </row>
    <row r="34" spans="1:49" s="4" customFormat="1" ht="19.399999999999999" customHeight="1">
      <c r="A34" s="18" t="s">
        <v>134</v>
      </c>
      <c r="B34" s="18" t="s">
        <v>247</v>
      </c>
      <c r="C34" s="19" t="s">
        <v>127</v>
      </c>
      <c r="D34" s="19" t="s">
        <v>248</v>
      </c>
      <c r="E34" s="19" t="s">
        <v>249</v>
      </c>
      <c r="F34" s="58">
        <v>8</v>
      </c>
      <c r="G34" s="43">
        <v>22</v>
      </c>
      <c r="H34" s="44">
        <v>39.9</v>
      </c>
      <c r="I34" s="44" t="s">
        <v>38</v>
      </c>
      <c r="J34" s="43">
        <v>120</v>
      </c>
      <c r="K34" s="44">
        <v>9.6999999999999993</v>
      </c>
      <c r="L34" s="44" t="s">
        <v>122</v>
      </c>
      <c r="M34" s="43" t="s">
        <v>115</v>
      </c>
      <c r="N34" s="45">
        <v>11</v>
      </c>
      <c r="O34" s="45">
        <v>3</v>
      </c>
      <c r="P34" s="45">
        <v>2</v>
      </c>
      <c r="Q34" s="45">
        <v>1</v>
      </c>
      <c r="R34" s="46">
        <v>4.05</v>
      </c>
      <c r="S34" s="46">
        <v>4.0999999999999996</v>
      </c>
      <c r="T34" s="46">
        <v>293</v>
      </c>
      <c r="U34" s="47">
        <v>2984</v>
      </c>
      <c r="V34" s="23">
        <v>24</v>
      </c>
      <c r="W34" s="38">
        <v>13.9</v>
      </c>
      <c r="X34" s="38">
        <v>0.7</v>
      </c>
      <c r="Y34" s="38">
        <v>9.4</v>
      </c>
      <c r="Z34" s="38">
        <v>0</v>
      </c>
      <c r="AA34" s="44">
        <v>21.4</v>
      </c>
      <c r="AB34" s="44">
        <v>0.9</v>
      </c>
      <c r="AC34" s="52" t="s">
        <v>128</v>
      </c>
      <c r="AD34" s="40" t="s">
        <v>246</v>
      </c>
      <c r="AE34" s="40"/>
      <c r="AF34" s="41" t="s">
        <v>140</v>
      </c>
      <c r="AG34" s="40" t="s">
        <v>258</v>
      </c>
      <c r="AH34" s="38">
        <v>0.1</v>
      </c>
      <c r="AI34" s="38">
        <v>0.2</v>
      </c>
      <c r="AJ34" s="38">
        <v>1.3</v>
      </c>
      <c r="AK34" s="38">
        <v>0</v>
      </c>
      <c r="AL34" s="24">
        <f t="shared" si="0"/>
        <v>1.6</v>
      </c>
      <c r="AM34" s="12"/>
      <c r="AN34" s="12"/>
      <c r="AO34" s="12"/>
      <c r="AP34" s="12"/>
      <c r="AQ34" s="55">
        <f t="shared" si="1"/>
        <v>215.39999999999998</v>
      </c>
      <c r="AR34" s="38"/>
      <c r="AS34" s="38">
        <v>293</v>
      </c>
      <c r="AT34" s="26"/>
      <c r="AU34" s="49"/>
      <c r="AV34" s="136"/>
      <c r="AW34" s="137"/>
    </row>
    <row r="35" spans="1:49" s="4" customFormat="1" ht="19.399999999999999" customHeight="1">
      <c r="A35" s="18" t="s">
        <v>134</v>
      </c>
      <c r="B35" s="18" t="s">
        <v>247</v>
      </c>
      <c r="C35" s="19" t="s">
        <v>127</v>
      </c>
      <c r="D35" s="19" t="s">
        <v>171</v>
      </c>
      <c r="E35" s="19" t="s">
        <v>251</v>
      </c>
      <c r="F35" s="58">
        <v>8</v>
      </c>
      <c r="G35" s="43">
        <v>23</v>
      </c>
      <c r="H35" s="44">
        <v>23.4</v>
      </c>
      <c r="I35" s="44" t="s">
        <v>38</v>
      </c>
      <c r="J35" s="43">
        <v>121</v>
      </c>
      <c r="K35" s="44">
        <v>37.4</v>
      </c>
      <c r="L35" s="44" t="s">
        <v>122</v>
      </c>
      <c r="M35" s="43" t="s">
        <v>252</v>
      </c>
      <c r="N35" s="45">
        <v>7</v>
      </c>
      <c r="O35" s="45">
        <v>6</v>
      </c>
      <c r="P35" s="45">
        <v>4</v>
      </c>
      <c r="Q35" s="45">
        <v>2</v>
      </c>
      <c r="R35" s="46">
        <v>4.05</v>
      </c>
      <c r="S35" s="46">
        <v>4.0999999999999996</v>
      </c>
      <c r="T35" s="46">
        <v>293</v>
      </c>
      <c r="U35" s="47">
        <v>2984</v>
      </c>
      <c r="V35" s="23">
        <v>24</v>
      </c>
      <c r="W35" s="38">
        <v>20</v>
      </c>
      <c r="X35" s="38">
        <v>4</v>
      </c>
      <c r="Y35" s="38">
        <v>0</v>
      </c>
      <c r="Z35" s="38">
        <v>0</v>
      </c>
      <c r="AA35" s="44">
        <v>168.4</v>
      </c>
      <c r="AB35" s="44">
        <v>7</v>
      </c>
      <c r="AC35" s="52" t="s">
        <v>128</v>
      </c>
      <c r="AD35" s="40" t="s">
        <v>250</v>
      </c>
      <c r="AE35" s="40"/>
      <c r="AF35" s="41" t="s">
        <v>256</v>
      </c>
      <c r="AG35" s="40" t="s">
        <v>257</v>
      </c>
      <c r="AH35" s="38">
        <v>4</v>
      </c>
      <c r="AI35" s="38">
        <v>1</v>
      </c>
      <c r="AJ35" s="38">
        <v>0</v>
      </c>
      <c r="AK35" s="38">
        <v>0</v>
      </c>
      <c r="AL35" s="24">
        <f t="shared" si="0"/>
        <v>5</v>
      </c>
      <c r="AM35" s="12"/>
      <c r="AN35" s="12"/>
      <c r="AO35" s="12"/>
      <c r="AP35" s="12"/>
      <c r="AQ35" s="55">
        <f t="shared" si="1"/>
        <v>210.39999999999998</v>
      </c>
      <c r="AR35" s="38"/>
      <c r="AS35" s="38">
        <v>285</v>
      </c>
      <c r="AT35" s="26"/>
      <c r="AU35" s="49"/>
      <c r="AV35" s="136"/>
      <c r="AW35" s="137"/>
    </row>
    <row r="36" spans="1:49" s="4" customFormat="1" ht="19.399999999999999" customHeight="1">
      <c r="A36" s="18" t="s">
        <v>134</v>
      </c>
      <c r="B36" s="18" t="s">
        <v>247</v>
      </c>
      <c r="C36" s="19" t="s">
        <v>127</v>
      </c>
      <c r="D36" s="19" t="s">
        <v>171</v>
      </c>
      <c r="E36" s="19" t="s">
        <v>254</v>
      </c>
      <c r="F36" s="58">
        <v>8</v>
      </c>
      <c r="G36" s="43">
        <v>23</v>
      </c>
      <c r="H36" s="44">
        <v>19.600000000000001</v>
      </c>
      <c r="I36" s="44" t="s">
        <v>38</v>
      </c>
      <c r="J36" s="43">
        <v>121</v>
      </c>
      <c r="K36" s="44">
        <v>31</v>
      </c>
      <c r="L36" s="44" t="s">
        <v>122</v>
      </c>
      <c r="M36" s="43" t="s">
        <v>252</v>
      </c>
      <c r="N36" s="45">
        <v>7</v>
      </c>
      <c r="O36" s="45">
        <v>7</v>
      </c>
      <c r="P36" s="45">
        <v>5</v>
      </c>
      <c r="Q36" s="45">
        <v>3</v>
      </c>
      <c r="R36" s="46">
        <v>4.05</v>
      </c>
      <c r="S36" s="46">
        <v>4.0999999999999996</v>
      </c>
      <c r="T36" s="46">
        <v>293</v>
      </c>
      <c r="U36" s="47">
        <v>2984</v>
      </c>
      <c r="V36" s="23">
        <v>24</v>
      </c>
      <c r="W36" s="38">
        <v>0</v>
      </c>
      <c r="X36" s="38">
        <v>24</v>
      </c>
      <c r="Y36" s="38">
        <v>0</v>
      </c>
      <c r="Z36" s="38">
        <v>0</v>
      </c>
      <c r="AA36" s="44">
        <v>101.2</v>
      </c>
      <c r="AB36" s="44">
        <v>4.2</v>
      </c>
      <c r="AC36" s="52" t="s">
        <v>128</v>
      </c>
      <c r="AD36" s="40" t="s">
        <v>253</v>
      </c>
      <c r="AE36" s="40"/>
      <c r="AF36" s="41" t="s">
        <v>155</v>
      </c>
      <c r="AG36" s="40" t="s">
        <v>255</v>
      </c>
      <c r="AH36" s="38">
        <v>0</v>
      </c>
      <c r="AI36" s="38">
        <v>5.2</v>
      </c>
      <c r="AJ36" s="38">
        <v>0</v>
      </c>
      <c r="AK36" s="38">
        <v>0</v>
      </c>
      <c r="AL36" s="24">
        <f t="shared" si="0"/>
        <v>5.2</v>
      </c>
      <c r="AM36" s="12"/>
      <c r="AN36" s="12"/>
      <c r="AO36" s="12"/>
      <c r="AP36" s="12"/>
      <c r="AQ36" s="55">
        <f t="shared" si="1"/>
        <v>205.2</v>
      </c>
      <c r="AR36" s="38"/>
      <c r="AS36" s="38">
        <v>276</v>
      </c>
      <c r="AT36" s="26"/>
      <c r="AU36" s="49"/>
      <c r="AV36" s="136"/>
      <c r="AW36" s="137"/>
    </row>
    <row r="37" spans="1:49" ht="18" customHeight="1">
      <c r="A37" s="18" t="s">
        <v>134</v>
      </c>
      <c r="B37" s="18" t="s">
        <v>247</v>
      </c>
      <c r="C37" s="19" t="s">
        <v>127</v>
      </c>
      <c r="D37" s="19" t="s">
        <v>171</v>
      </c>
      <c r="E37" s="19" t="s">
        <v>261</v>
      </c>
      <c r="F37" s="58">
        <v>8</v>
      </c>
      <c r="G37" s="43">
        <v>23</v>
      </c>
      <c r="H37" s="44">
        <v>47.8</v>
      </c>
      <c r="I37" s="44" t="s">
        <v>38</v>
      </c>
      <c r="J37" s="43">
        <v>121</v>
      </c>
      <c r="K37" s="44">
        <v>45.4</v>
      </c>
      <c r="L37" s="44" t="s">
        <v>122</v>
      </c>
      <c r="M37" s="43" t="s">
        <v>117</v>
      </c>
      <c r="N37" s="45">
        <v>7</v>
      </c>
      <c r="O37" s="45">
        <v>4</v>
      </c>
      <c r="P37" s="45">
        <v>3</v>
      </c>
      <c r="Q37" s="45">
        <v>1</v>
      </c>
      <c r="R37" s="46">
        <v>4.05</v>
      </c>
      <c r="S37" s="46">
        <v>4.0999999999999996</v>
      </c>
      <c r="T37" s="46">
        <v>293</v>
      </c>
      <c r="U37" s="47">
        <v>2984</v>
      </c>
      <c r="V37" s="23">
        <v>24</v>
      </c>
      <c r="W37" s="38">
        <v>0</v>
      </c>
      <c r="X37" s="38">
        <v>24</v>
      </c>
      <c r="Y37" s="38">
        <v>0</v>
      </c>
      <c r="Z37" s="38">
        <v>0</v>
      </c>
      <c r="AA37" s="44">
        <v>82.8</v>
      </c>
      <c r="AB37" s="44">
        <v>3.5</v>
      </c>
      <c r="AC37" s="52" t="s">
        <v>128</v>
      </c>
      <c r="AD37" s="40" t="s">
        <v>260</v>
      </c>
      <c r="AE37" s="40"/>
      <c r="AF37" s="41" t="s">
        <v>259</v>
      </c>
      <c r="AG37" s="40" t="s">
        <v>120</v>
      </c>
      <c r="AH37" s="38">
        <v>0</v>
      </c>
      <c r="AI37" s="38">
        <v>4</v>
      </c>
      <c r="AJ37" s="38">
        <v>0</v>
      </c>
      <c r="AK37" s="38">
        <v>0</v>
      </c>
      <c r="AL37" s="24">
        <f t="shared" si="0"/>
        <v>4</v>
      </c>
      <c r="AM37" s="12"/>
      <c r="AN37" s="12"/>
      <c r="AO37" s="12"/>
      <c r="AP37" s="12"/>
      <c r="AQ37" s="55">
        <f t="shared" si="1"/>
        <v>201.2</v>
      </c>
      <c r="AR37" s="38"/>
      <c r="AS37" s="38">
        <v>267</v>
      </c>
      <c r="AT37" s="26"/>
      <c r="AU37" s="49"/>
      <c r="AV37" s="136"/>
      <c r="AW37" s="137"/>
    </row>
    <row r="38" spans="1:49" ht="19.399999999999999" customHeight="1">
      <c r="A38" s="18" t="s">
        <v>134</v>
      </c>
      <c r="B38" s="18" t="s">
        <v>247</v>
      </c>
      <c r="C38" s="19" t="s">
        <v>127</v>
      </c>
      <c r="D38" s="19" t="s">
        <v>171</v>
      </c>
      <c r="E38" s="19" t="s">
        <v>264</v>
      </c>
      <c r="F38" s="58">
        <v>8</v>
      </c>
      <c r="G38" s="43">
        <v>23</v>
      </c>
      <c r="H38" s="44">
        <v>57.2</v>
      </c>
      <c r="I38" s="44" t="s">
        <v>38</v>
      </c>
      <c r="J38" s="43">
        <v>121</v>
      </c>
      <c r="K38" s="44">
        <v>38.200000000000003</v>
      </c>
      <c r="L38" s="44" t="s">
        <v>122</v>
      </c>
      <c r="M38" s="43" t="s">
        <v>117</v>
      </c>
      <c r="N38" s="45">
        <v>7</v>
      </c>
      <c r="O38" s="45">
        <v>5</v>
      </c>
      <c r="P38" s="45">
        <v>3</v>
      </c>
      <c r="Q38" s="45">
        <v>2</v>
      </c>
      <c r="R38" s="46">
        <v>4.05</v>
      </c>
      <c r="S38" s="46">
        <v>4.0999999999999996</v>
      </c>
      <c r="T38" s="46">
        <v>293</v>
      </c>
      <c r="U38" s="47">
        <v>2984</v>
      </c>
      <c r="V38" s="23">
        <v>24</v>
      </c>
      <c r="W38" s="38">
        <v>0</v>
      </c>
      <c r="X38" s="38">
        <v>24</v>
      </c>
      <c r="Y38" s="38">
        <v>0</v>
      </c>
      <c r="Z38" s="38">
        <v>0</v>
      </c>
      <c r="AA38" s="44">
        <v>58.7</v>
      </c>
      <c r="AB38" s="44">
        <v>2.4</v>
      </c>
      <c r="AC38" s="52" t="s">
        <v>128</v>
      </c>
      <c r="AD38" s="40" t="s">
        <v>262</v>
      </c>
      <c r="AE38" s="40"/>
      <c r="AF38" s="41" t="s">
        <v>263</v>
      </c>
      <c r="AG38" s="40" t="s">
        <v>143</v>
      </c>
      <c r="AH38" s="38">
        <v>0</v>
      </c>
      <c r="AI38" s="38">
        <v>4.2</v>
      </c>
      <c r="AJ38" s="38">
        <v>0</v>
      </c>
      <c r="AK38" s="38">
        <v>0</v>
      </c>
      <c r="AL38" s="24">
        <f t="shared" si="0"/>
        <v>4.2</v>
      </c>
      <c r="AM38" s="12"/>
      <c r="AN38" s="12"/>
      <c r="AO38" s="12"/>
      <c r="AP38" s="12"/>
      <c r="AQ38" s="55">
        <f t="shared" si="1"/>
        <v>197</v>
      </c>
      <c r="AR38" s="38"/>
      <c r="AS38" s="38">
        <v>258</v>
      </c>
      <c r="AT38" s="26"/>
      <c r="AU38" s="49"/>
      <c r="AV38" s="136"/>
      <c r="AW38" s="137"/>
    </row>
    <row r="39" spans="1:49" ht="19.399999999999999" customHeight="1">
      <c r="A39" s="18" t="s">
        <v>134</v>
      </c>
      <c r="B39" s="18" t="s">
        <v>247</v>
      </c>
      <c r="C39" s="19" t="s">
        <v>127</v>
      </c>
      <c r="D39" s="19" t="s">
        <v>171</v>
      </c>
      <c r="E39" s="19" t="s">
        <v>267</v>
      </c>
      <c r="F39" s="58">
        <v>8</v>
      </c>
      <c r="G39" s="43">
        <v>24</v>
      </c>
      <c r="H39" s="44">
        <v>2.4</v>
      </c>
      <c r="I39" s="44" t="s">
        <v>38</v>
      </c>
      <c r="J39" s="43">
        <v>121</v>
      </c>
      <c r="K39" s="44">
        <v>42</v>
      </c>
      <c r="L39" s="44" t="s">
        <v>122</v>
      </c>
      <c r="M39" s="43" t="s">
        <v>117</v>
      </c>
      <c r="N39" s="45">
        <v>7</v>
      </c>
      <c r="O39" s="45">
        <v>4</v>
      </c>
      <c r="P39" s="45">
        <v>3</v>
      </c>
      <c r="Q39" s="45">
        <v>2</v>
      </c>
      <c r="R39" s="46">
        <v>4.05</v>
      </c>
      <c r="S39" s="46">
        <v>4.0999999999999996</v>
      </c>
      <c r="T39" s="46">
        <v>293</v>
      </c>
      <c r="U39" s="47">
        <v>2984</v>
      </c>
      <c r="V39" s="23">
        <v>24</v>
      </c>
      <c r="W39" s="38">
        <v>0</v>
      </c>
      <c r="X39" s="38">
        <v>24</v>
      </c>
      <c r="Y39" s="38">
        <v>0</v>
      </c>
      <c r="Z39" s="38">
        <v>0</v>
      </c>
      <c r="AA39" s="44">
        <v>75.900000000000006</v>
      </c>
      <c r="AB39" s="44">
        <v>3.2</v>
      </c>
      <c r="AC39" s="52" t="s">
        <v>128</v>
      </c>
      <c r="AD39" s="40" t="s">
        <v>265</v>
      </c>
      <c r="AE39" s="40"/>
      <c r="AF39" s="41" t="s">
        <v>266</v>
      </c>
      <c r="AG39" s="40" t="s">
        <v>161</v>
      </c>
      <c r="AH39" s="38">
        <v>0</v>
      </c>
      <c r="AI39" s="38">
        <v>5</v>
      </c>
      <c r="AJ39" s="38">
        <v>0</v>
      </c>
      <c r="AK39" s="38">
        <v>0</v>
      </c>
      <c r="AL39" s="24">
        <f t="shared" si="0"/>
        <v>5</v>
      </c>
      <c r="AM39" s="12"/>
      <c r="AN39" s="12"/>
      <c r="AO39" s="12"/>
      <c r="AP39" s="12"/>
      <c r="AQ39" s="55">
        <f t="shared" si="1"/>
        <v>192</v>
      </c>
      <c r="AR39" s="38"/>
      <c r="AS39" s="38">
        <v>250</v>
      </c>
      <c r="AT39" s="26"/>
      <c r="AU39" s="49"/>
      <c r="AV39" s="136"/>
      <c r="AW39" s="137"/>
    </row>
    <row r="40" spans="1:49" ht="19.399999999999999" customHeight="1">
      <c r="A40" s="18" t="s">
        <v>134</v>
      </c>
      <c r="B40" s="18" t="s">
        <v>247</v>
      </c>
      <c r="C40" s="19" t="s">
        <v>127</v>
      </c>
      <c r="D40" s="19" t="s">
        <v>171</v>
      </c>
      <c r="E40" s="19" t="s">
        <v>270</v>
      </c>
      <c r="F40" s="58">
        <v>8</v>
      </c>
      <c r="G40" s="43">
        <v>24</v>
      </c>
      <c r="H40" s="44">
        <v>5.2</v>
      </c>
      <c r="I40" s="44" t="s">
        <v>38</v>
      </c>
      <c r="J40" s="43">
        <v>121</v>
      </c>
      <c r="K40" s="44">
        <v>40</v>
      </c>
      <c r="L40" s="44" t="s">
        <v>122</v>
      </c>
      <c r="M40" s="43" t="s">
        <v>271</v>
      </c>
      <c r="N40" s="45">
        <v>13</v>
      </c>
      <c r="O40" s="45">
        <v>2</v>
      </c>
      <c r="P40" s="45">
        <v>1</v>
      </c>
      <c r="Q40" s="45">
        <v>1</v>
      </c>
      <c r="R40" s="46">
        <v>4.05</v>
      </c>
      <c r="S40" s="46">
        <v>4.0999999999999996</v>
      </c>
      <c r="T40" s="46">
        <v>293</v>
      </c>
      <c r="U40" s="47">
        <v>2984</v>
      </c>
      <c r="V40" s="23">
        <v>24</v>
      </c>
      <c r="W40" s="38">
        <v>0</v>
      </c>
      <c r="X40" s="38">
        <v>24</v>
      </c>
      <c r="Y40" s="38">
        <v>0</v>
      </c>
      <c r="Z40" s="38">
        <v>0</v>
      </c>
      <c r="AA40" s="44">
        <v>77.7</v>
      </c>
      <c r="AB40" s="44">
        <v>3.2</v>
      </c>
      <c r="AC40" s="52" t="s">
        <v>128</v>
      </c>
      <c r="AD40" s="40" t="s">
        <v>268</v>
      </c>
      <c r="AE40" s="40"/>
      <c r="AF40" s="41" t="s">
        <v>269</v>
      </c>
      <c r="AG40" s="40" t="s">
        <v>163</v>
      </c>
      <c r="AH40" s="38">
        <v>0</v>
      </c>
      <c r="AI40" s="38">
        <v>4</v>
      </c>
      <c r="AJ40" s="38">
        <v>0</v>
      </c>
      <c r="AK40" s="38">
        <v>0</v>
      </c>
      <c r="AL40" s="24">
        <f t="shared" si="0"/>
        <v>4</v>
      </c>
      <c r="AM40" s="12"/>
      <c r="AN40" s="12"/>
      <c r="AO40" s="12"/>
      <c r="AP40" s="12"/>
      <c r="AQ40" s="55">
        <f t="shared" si="1"/>
        <v>188</v>
      </c>
      <c r="AR40" s="38"/>
      <c r="AS40" s="38">
        <v>237</v>
      </c>
      <c r="AT40" s="26"/>
      <c r="AU40" s="49"/>
      <c r="AV40" s="136"/>
      <c r="AW40" s="137"/>
    </row>
    <row r="41" spans="1:49" ht="19.399999999999999" customHeight="1">
      <c r="A41" s="18" t="s">
        <v>134</v>
      </c>
      <c r="B41" s="18" t="s">
        <v>247</v>
      </c>
      <c r="C41" s="19" t="s">
        <v>127</v>
      </c>
      <c r="D41" s="19" t="s">
        <v>171</v>
      </c>
      <c r="E41" s="19" t="s">
        <v>274</v>
      </c>
      <c r="F41" s="58">
        <v>8</v>
      </c>
      <c r="G41" s="43">
        <v>23</v>
      </c>
      <c r="H41" s="44">
        <v>53.2</v>
      </c>
      <c r="I41" s="44" t="s">
        <v>38</v>
      </c>
      <c r="J41" s="43">
        <v>122</v>
      </c>
      <c r="K41" s="44">
        <v>24.9</v>
      </c>
      <c r="L41" s="44" t="s">
        <v>122</v>
      </c>
      <c r="M41" s="43" t="s">
        <v>115</v>
      </c>
      <c r="N41" s="45">
        <v>13</v>
      </c>
      <c r="O41" s="45">
        <v>3</v>
      </c>
      <c r="P41" s="45">
        <v>3</v>
      </c>
      <c r="Q41" s="45">
        <v>1</v>
      </c>
      <c r="R41" s="46">
        <v>4.05</v>
      </c>
      <c r="S41" s="46">
        <v>4.0999999999999996</v>
      </c>
      <c r="T41" s="46">
        <v>293</v>
      </c>
      <c r="U41" s="47">
        <v>2984</v>
      </c>
      <c r="V41" s="23">
        <v>24</v>
      </c>
      <c r="W41" s="38">
        <v>0</v>
      </c>
      <c r="X41" s="38">
        <v>24</v>
      </c>
      <c r="Y41" s="38">
        <v>0</v>
      </c>
      <c r="Z41" s="38">
        <v>0</v>
      </c>
      <c r="AA41" s="44">
        <v>68</v>
      </c>
      <c r="AB41" s="44">
        <f t="shared" ref="AB41:AB46" si="2">AA41/24</f>
        <v>2.8333333333333335</v>
      </c>
      <c r="AC41" s="52" t="s">
        <v>128</v>
      </c>
      <c r="AD41" s="40" t="s">
        <v>272</v>
      </c>
      <c r="AE41" s="40"/>
      <c r="AF41" s="41" t="s">
        <v>273</v>
      </c>
      <c r="AG41" s="40" t="s">
        <v>143</v>
      </c>
      <c r="AH41" s="38">
        <v>0</v>
      </c>
      <c r="AI41" s="38">
        <v>4</v>
      </c>
      <c r="AJ41" s="38">
        <v>0</v>
      </c>
      <c r="AK41" s="38">
        <v>0</v>
      </c>
      <c r="AL41" s="24">
        <f t="shared" si="0"/>
        <v>4</v>
      </c>
      <c r="AM41" s="12"/>
      <c r="AN41" s="12"/>
      <c r="AO41" s="12"/>
      <c r="AP41" s="12"/>
      <c r="AQ41" s="55">
        <f t="shared" si="1"/>
        <v>184</v>
      </c>
      <c r="AR41" s="38"/>
      <c r="AS41" s="38">
        <v>225</v>
      </c>
      <c r="AT41" s="26"/>
      <c r="AU41" s="49"/>
      <c r="AV41" s="136"/>
      <c r="AW41" s="137"/>
    </row>
    <row r="42" spans="1:49" ht="19.399999999999999" customHeight="1">
      <c r="A42" s="18" t="s">
        <v>134</v>
      </c>
      <c r="B42" s="18" t="s">
        <v>247</v>
      </c>
      <c r="C42" s="19" t="s">
        <v>127</v>
      </c>
      <c r="D42" s="19" t="s">
        <v>171</v>
      </c>
      <c r="E42" s="19" t="s">
        <v>277</v>
      </c>
      <c r="F42" s="58">
        <v>8</v>
      </c>
      <c r="G42" s="43">
        <v>23</v>
      </c>
      <c r="H42" s="44">
        <v>53.4</v>
      </c>
      <c r="I42" s="44" t="s">
        <v>38</v>
      </c>
      <c r="J42" s="43">
        <v>121</v>
      </c>
      <c r="K42" s="44">
        <v>56.2</v>
      </c>
      <c r="L42" s="44" t="s">
        <v>122</v>
      </c>
      <c r="M42" s="43" t="s">
        <v>115</v>
      </c>
      <c r="N42" s="45">
        <v>15</v>
      </c>
      <c r="O42" s="45">
        <v>2</v>
      </c>
      <c r="P42" s="45">
        <v>2</v>
      </c>
      <c r="Q42" s="45">
        <v>1</v>
      </c>
      <c r="R42" s="46">
        <v>4.05</v>
      </c>
      <c r="S42" s="46">
        <v>4.0999999999999996</v>
      </c>
      <c r="T42" s="46">
        <v>293</v>
      </c>
      <c r="U42" s="47">
        <v>2984</v>
      </c>
      <c r="V42" s="23">
        <v>24</v>
      </c>
      <c r="W42" s="38">
        <v>0</v>
      </c>
      <c r="X42" s="38">
        <v>24</v>
      </c>
      <c r="Y42" s="38">
        <v>0</v>
      </c>
      <c r="Z42" s="38">
        <v>0</v>
      </c>
      <c r="AA42" s="44">
        <v>79.8</v>
      </c>
      <c r="AB42" s="44">
        <f t="shared" si="2"/>
        <v>3.3249999999999997</v>
      </c>
      <c r="AC42" s="52" t="s">
        <v>124</v>
      </c>
      <c r="AD42" s="40" t="s">
        <v>275</v>
      </c>
      <c r="AE42" s="40"/>
      <c r="AF42" s="40" t="s">
        <v>155</v>
      </c>
      <c r="AG42" s="40" t="s">
        <v>276</v>
      </c>
      <c r="AH42" s="38">
        <v>0</v>
      </c>
      <c r="AI42" s="38">
        <v>4.7</v>
      </c>
      <c r="AJ42" s="38">
        <v>0</v>
      </c>
      <c r="AK42" s="38">
        <v>0</v>
      </c>
      <c r="AL42" s="24">
        <f t="shared" si="0"/>
        <v>4.7</v>
      </c>
      <c r="AM42" s="12"/>
      <c r="AN42" s="12"/>
      <c r="AO42" s="12"/>
      <c r="AP42" s="12"/>
      <c r="AQ42" s="55">
        <f t="shared" si="1"/>
        <v>179.3</v>
      </c>
      <c r="AR42" s="38"/>
      <c r="AS42" s="38">
        <v>215</v>
      </c>
      <c r="AT42" s="26"/>
      <c r="AU42" s="49"/>
      <c r="AV42" s="136"/>
      <c r="AW42" s="137"/>
    </row>
    <row r="43" spans="1:49" ht="19.399999999999999" customHeight="1">
      <c r="A43" s="18" t="s">
        <v>134</v>
      </c>
      <c r="B43" s="18" t="s">
        <v>247</v>
      </c>
      <c r="C43" s="19" t="s">
        <v>127</v>
      </c>
      <c r="D43" s="19" t="s">
        <v>171</v>
      </c>
      <c r="E43" s="19" t="s">
        <v>280</v>
      </c>
      <c r="F43" s="58">
        <v>8</v>
      </c>
      <c r="G43" s="43">
        <v>24</v>
      </c>
      <c r="H43" s="44">
        <v>42.1</v>
      </c>
      <c r="I43" s="44" t="s">
        <v>38</v>
      </c>
      <c r="J43" s="43">
        <v>121</v>
      </c>
      <c r="K43" s="44">
        <v>42.3</v>
      </c>
      <c r="L43" s="44" t="s">
        <v>122</v>
      </c>
      <c r="M43" s="43" t="s">
        <v>115</v>
      </c>
      <c r="N43" s="45">
        <v>15</v>
      </c>
      <c r="O43" s="45">
        <v>4</v>
      </c>
      <c r="P43" s="45">
        <v>3</v>
      </c>
      <c r="Q43" s="45">
        <v>1</v>
      </c>
      <c r="R43" s="46">
        <v>4.05</v>
      </c>
      <c r="S43" s="46">
        <v>4.0999999999999996</v>
      </c>
      <c r="T43" s="46">
        <v>293</v>
      </c>
      <c r="U43" s="47">
        <v>2984</v>
      </c>
      <c r="V43" s="23">
        <v>24</v>
      </c>
      <c r="W43" s="38">
        <v>0</v>
      </c>
      <c r="X43" s="38">
        <v>24</v>
      </c>
      <c r="Y43" s="38">
        <v>0</v>
      </c>
      <c r="Z43" s="38">
        <v>0</v>
      </c>
      <c r="AA43" s="44">
        <v>97.5</v>
      </c>
      <c r="AB43" s="44">
        <f t="shared" si="2"/>
        <v>4.0625</v>
      </c>
      <c r="AC43" s="52" t="s">
        <v>124</v>
      </c>
      <c r="AD43" s="40" t="s">
        <v>278</v>
      </c>
      <c r="AE43" s="40"/>
      <c r="AF43" s="40" t="s">
        <v>279</v>
      </c>
      <c r="AG43" s="40" t="s">
        <v>150</v>
      </c>
      <c r="AH43" s="38">
        <v>0</v>
      </c>
      <c r="AI43" s="38">
        <v>5</v>
      </c>
      <c r="AJ43" s="38">
        <v>0</v>
      </c>
      <c r="AK43" s="38">
        <v>0</v>
      </c>
      <c r="AL43" s="24">
        <f t="shared" si="0"/>
        <v>5</v>
      </c>
      <c r="AM43" s="12"/>
      <c r="AN43" s="12"/>
      <c r="AO43" s="12"/>
      <c r="AP43" s="12"/>
      <c r="AQ43" s="55">
        <f t="shared" si="1"/>
        <v>174.3</v>
      </c>
      <c r="AR43" s="38"/>
      <c r="AS43" s="38">
        <v>211</v>
      </c>
      <c r="AT43" s="26"/>
      <c r="AU43" s="49"/>
      <c r="AV43" s="136"/>
      <c r="AW43" s="137"/>
    </row>
    <row r="44" spans="1:49" ht="19.399999999999999" customHeight="1">
      <c r="A44" s="18" t="s">
        <v>134</v>
      </c>
      <c r="B44" s="18" t="s">
        <v>247</v>
      </c>
      <c r="C44" s="19" t="s">
        <v>127</v>
      </c>
      <c r="D44" s="19" t="s">
        <v>171</v>
      </c>
      <c r="E44" s="19" t="s">
        <v>283</v>
      </c>
      <c r="F44" s="58">
        <v>8</v>
      </c>
      <c r="G44" s="43">
        <v>22</v>
      </c>
      <c r="H44" s="44">
        <v>24.1</v>
      </c>
      <c r="I44" s="44" t="s">
        <v>38</v>
      </c>
      <c r="J44" s="43">
        <v>120</v>
      </c>
      <c r="K44" s="44">
        <v>16.8</v>
      </c>
      <c r="L44" s="44" t="s">
        <v>122</v>
      </c>
      <c r="M44" s="43" t="s">
        <v>115</v>
      </c>
      <c r="N44" s="45">
        <v>15</v>
      </c>
      <c r="O44" s="45">
        <v>3</v>
      </c>
      <c r="P44" s="45">
        <v>3</v>
      </c>
      <c r="Q44" s="45">
        <v>1</v>
      </c>
      <c r="R44" s="46">
        <v>4.05</v>
      </c>
      <c r="S44" s="46">
        <v>4.0999999999999996</v>
      </c>
      <c r="T44" s="46">
        <v>293</v>
      </c>
      <c r="U44" s="47">
        <v>2984</v>
      </c>
      <c r="V44" s="23">
        <v>24</v>
      </c>
      <c r="W44" s="38">
        <v>23.7</v>
      </c>
      <c r="X44" s="38">
        <v>0.3</v>
      </c>
      <c r="Y44" s="38">
        <v>0</v>
      </c>
      <c r="Z44" s="38">
        <v>0</v>
      </c>
      <c r="AA44" s="44">
        <v>173.1</v>
      </c>
      <c r="AB44" s="44">
        <f t="shared" si="2"/>
        <v>7.2124999999999995</v>
      </c>
      <c r="AC44" s="52" t="s">
        <v>124</v>
      </c>
      <c r="AD44" s="40" t="s">
        <v>281</v>
      </c>
      <c r="AE44" s="40"/>
      <c r="AF44" s="40" t="s">
        <v>282</v>
      </c>
      <c r="AG44" s="40" t="s">
        <v>148</v>
      </c>
      <c r="AH44" s="38">
        <v>6.9</v>
      </c>
      <c r="AI44" s="38">
        <v>0.1</v>
      </c>
      <c r="AJ44" s="38">
        <v>0</v>
      </c>
      <c r="AK44" s="38">
        <v>0</v>
      </c>
      <c r="AL44" s="24">
        <f t="shared" si="0"/>
        <v>7</v>
      </c>
      <c r="AM44" s="12"/>
      <c r="AN44" s="12"/>
      <c r="AO44" s="12"/>
      <c r="AP44" s="12"/>
      <c r="AQ44" s="55">
        <f t="shared" si="1"/>
        <v>167.3</v>
      </c>
      <c r="AR44" s="38"/>
      <c r="AS44" s="38">
        <v>200</v>
      </c>
      <c r="AT44" s="26"/>
      <c r="AU44" s="49"/>
      <c r="AV44" s="136"/>
      <c r="AW44" s="137"/>
    </row>
    <row r="45" spans="1:49" ht="19.399999999999999" customHeight="1">
      <c r="A45" s="18" t="s">
        <v>134</v>
      </c>
      <c r="B45" s="18" t="s">
        <v>289</v>
      </c>
      <c r="C45" s="19" t="s">
        <v>171</v>
      </c>
      <c r="D45" s="19" t="s">
        <v>127</v>
      </c>
      <c r="E45" s="19" t="s">
        <v>284</v>
      </c>
      <c r="F45" s="58">
        <v>8</v>
      </c>
      <c r="G45" s="43">
        <v>22</v>
      </c>
      <c r="H45" s="44">
        <v>36.799999999999997</v>
      </c>
      <c r="I45" s="44" t="s">
        <v>38</v>
      </c>
      <c r="J45" s="43">
        <v>120</v>
      </c>
      <c r="K45" s="44">
        <v>16.899999999999999</v>
      </c>
      <c r="L45" s="44" t="s">
        <v>122</v>
      </c>
      <c r="M45" s="43" t="s">
        <v>115</v>
      </c>
      <c r="N45" s="45">
        <v>15</v>
      </c>
      <c r="O45" s="45">
        <v>3</v>
      </c>
      <c r="P45" s="45">
        <v>3</v>
      </c>
      <c r="Q45" s="45">
        <v>1</v>
      </c>
      <c r="R45" s="46">
        <v>4.05</v>
      </c>
      <c r="S45" s="46">
        <v>4.0999999999999996</v>
      </c>
      <c r="T45" s="46">
        <v>293</v>
      </c>
      <c r="U45" s="47">
        <v>2984</v>
      </c>
      <c r="V45" s="23">
        <v>24</v>
      </c>
      <c r="W45" s="38">
        <v>2</v>
      </c>
      <c r="X45" s="38">
        <v>1</v>
      </c>
      <c r="Y45" s="38">
        <v>21</v>
      </c>
      <c r="Z45" s="38">
        <v>0</v>
      </c>
      <c r="AA45" s="44">
        <v>18.600000000000001</v>
      </c>
      <c r="AB45" s="44">
        <f t="shared" si="2"/>
        <v>0.77500000000000002</v>
      </c>
      <c r="AC45" s="52" t="s">
        <v>124</v>
      </c>
      <c r="AD45" s="40" t="s">
        <v>285</v>
      </c>
      <c r="AE45" s="40"/>
      <c r="AF45" s="40" t="s">
        <v>286</v>
      </c>
      <c r="AG45" s="40" t="s">
        <v>287</v>
      </c>
      <c r="AH45" s="38">
        <v>0.1</v>
      </c>
      <c r="AI45" s="38">
        <v>0.1</v>
      </c>
      <c r="AJ45" s="38">
        <v>1.1000000000000001</v>
      </c>
      <c r="AK45" s="38">
        <v>0</v>
      </c>
      <c r="AL45" s="24">
        <f t="shared" si="0"/>
        <v>1.3</v>
      </c>
      <c r="AM45" s="12">
        <v>260</v>
      </c>
      <c r="AN45" s="12"/>
      <c r="AO45" s="12"/>
      <c r="AP45" s="12"/>
      <c r="AQ45" s="55">
        <f t="shared" ref="AQ45:AQ53" si="3">AQ44+AM45-AL45</f>
        <v>426</v>
      </c>
      <c r="AR45" s="38"/>
      <c r="AS45" s="38">
        <v>196</v>
      </c>
      <c r="AT45" s="26"/>
      <c r="AU45" s="49"/>
      <c r="AV45" s="136" t="s">
        <v>288</v>
      </c>
      <c r="AW45" s="137"/>
    </row>
    <row r="46" spans="1:49" ht="19.399999999999999" customHeight="1">
      <c r="A46" s="18" t="s">
        <v>134</v>
      </c>
      <c r="B46" s="18" t="s">
        <v>289</v>
      </c>
      <c r="C46" s="19" t="s">
        <v>171</v>
      </c>
      <c r="D46" s="19" t="s">
        <v>127</v>
      </c>
      <c r="E46" s="19" t="s">
        <v>290</v>
      </c>
      <c r="F46" s="58">
        <v>8</v>
      </c>
      <c r="G46" s="43">
        <v>22</v>
      </c>
      <c r="H46" s="44">
        <v>58.4</v>
      </c>
      <c r="I46" s="44" t="s">
        <v>38</v>
      </c>
      <c r="J46" s="43">
        <v>120</v>
      </c>
      <c r="K46" s="44">
        <v>10.4</v>
      </c>
      <c r="L46" s="44" t="s">
        <v>122</v>
      </c>
      <c r="M46" s="43" t="s">
        <v>115</v>
      </c>
      <c r="N46" s="45">
        <v>15</v>
      </c>
      <c r="O46" s="45">
        <v>2</v>
      </c>
      <c r="P46" s="45">
        <v>1</v>
      </c>
      <c r="Q46" s="45">
        <v>1</v>
      </c>
      <c r="R46" s="46">
        <v>4.05</v>
      </c>
      <c r="S46" s="46">
        <v>4.0999999999999996</v>
      </c>
      <c r="T46" s="46">
        <v>293</v>
      </c>
      <c r="U46" s="47">
        <v>2984</v>
      </c>
      <c r="V46" s="23">
        <v>24</v>
      </c>
      <c r="W46" s="38">
        <v>2.7</v>
      </c>
      <c r="X46" s="38">
        <v>1.4</v>
      </c>
      <c r="Y46" s="38">
        <v>19.899999999999999</v>
      </c>
      <c r="Z46" s="38">
        <v>0</v>
      </c>
      <c r="AA46" s="44">
        <v>27.6</v>
      </c>
      <c r="AB46" s="44">
        <f t="shared" si="2"/>
        <v>1.1500000000000001</v>
      </c>
      <c r="AC46" s="52" t="s">
        <v>113</v>
      </c>
      <c r="AD46" s="41">
        <v>222</v>
      </c>
      <c r="AE46" s="40"/>
      <c r="AF46" s="41">
        <v>0</v>
      </c>
      <c r="AG46" s="40">
        <v>0</v>
      </c>
      <c r="AH46" s="38">
        <v>0.3</v>
      </c>
      <c r="AI46" s="38">
        <v>0.3</v>
      </c>
      <c r="AJ46" s="38">
        <v>1</v>
      </c>
      <c r="AK46" s="38">
        <v>0</v>
      </c>
      <c r="AL46" s="24">
        <f t="shared" si="0"/>
        <v>1.6</v>
      </c>
      <c r="AM46" s="12"/>
      <c r="AN46" s="12"/>
      <c r="AO46" s="12"/>
      <c r="AP46" s="12"/>
      <c r="AQ46" s="55">
        <f t="shared" si="3"/>
        <v>424.4</v>
      </c>
      <c r="AR46" s="38"/>
      <c r="AS46" s="38">
        <v>191</v>
      </c>
      <c r="AT46" s="26"/>
      <c r="AU46" s="49"/>
      <c r="AV46" s="136"/>
      <c r="AW46" s="137"/>
    </row>
    <row r="47" spans="1:49" ht="19.399999999999999" customHeight="1">
      <c r="A47" s="18" t="s">
        <v>134</v>
      </c>
      <c r="B47" s="18" t="s">
        <v>289</v>
      </c>
      <c r="C47" s="19" t="s">
        <v>171</v>
      </c>
      <c r="D47" s="19" t="s">
        <v>127</v>
      </c>
      <c r="E47" s="19" t="s">
        <v>292</v>
      </c>
      <c r="F47" s="58">
        <v>8</v>
      </c>
      <c r="G47" s="43">
        <v>22</v>
      </c>
      <c r="H47" s="44">
        <v>58.4</v>
      </c>
      <c r="I47" s="44" t="s">
        <v>38</v>
      </c>
      <c r="J47" s="43">
        <v>120</v>
      </c>
      <c r="K47" s="44">
        <v>10.4</v>
      </c>
      <c r="L47" s="44" t="s">
        <v>122</v>
      </c>
      <c r="M47" s="43" t="s">
        <v>115</v>
      </c>
      <c r="N47" s="45">
        <v>15</v>
      </c>
      <c r="O47" s="45">
        <v>2</v>
      </c>
      <c r="P47" s="45">
        <v>1</v>
      </c>
      <c r="Q47" s="45">
        <v>1</v>
      </c>
      <c r="R47" s="46">
        <v>4.05</v>
      </c>
      <c r="S47" s="46">
        <v>4.0999999999999996</v>
      </c>
      <c r="T47" s="46">
        <v>293</v>
      </c>
      <c r="U47" s="47">
        <v>2984</v>
      </c>
      <c r="V47" s="23">
        <v>24</v>
      </c>
      <c r="W47" s="38">
        <v>0</v>
      </c>
      <c r="X47" s="38">
        <v>0</v>
      </c>
      <c r="Y47" s="38">
        <v>24</v>
      </c>
      <c r="Z47" s="38">
        <v>0</v>
      </c>
      <c r="AA47" s="44">
        <v>0</v>
      </c>
      <c r="AB47" s="44">
        <v>0</v>
      </c>
      <c r="AC47" s="52" t="s">
        <v>113</v>
      </c>
      <c r="AD47" s="41">
        <v>221</v>
      </c>
      <c r="AE47" s="40"/>
      <c r="AF47" s="41">
        <v>0</v>
      </c>
      <c r="AG47" s="40">
        <v>0</v>
      </c>
      <c r="AH47" s="38">
        <v>0</v>
      </c>
      <c r="AI47" s="38">
        <v>0</v>
      </c>
      <c r="AJ47" s="38">
        <v>1.1000000000000001</v>
      </c>
      <c r="AK47" s="38">
        <v>0</v>
      </c>
      <c r="AL47" s="24">
        <f t="shared" si="0"/>
        <v>1.1000000000000001</v>
      </c>
      <c r="AM47" s="12"/>
      <c r="AN47" s="12"/>
      <c r="AO47" s="12"/>
      <c r="AP47" s="12"/>
      <c r="AQ47" s="55">
        <f t="shared" si="3"/>
        <v>423.29999999999995</v>
      </c>
      <c r="AR47" s="38"/>
      <c r="AS47" s="38">
        <v>333</v>
      </c>
      <c r="AT47" s="26"/>
      <c r="AU47" s="49"/>
      <c r="AV47" s="136" t="s">
        <v>291</v>
      </c>
      <c r="AW47" s="137"/>
    </row>
    <row r="48" spans="1:49" ht="19.399999999999999" customHeight="1">
      <c r="A48" s="18" t="s">
        <v>134</v>
      </c>
      <c r="B48" s="18" t="s">
        <v>289</v>
      </c>
      <c r="C48" s="19" t="s">
        <v>171</v>
      </c>
      <c r="D48" s="19" t="s">
        <v>127</v>
      </c>
      <c r="E48" s="19" t="s">
        <v>293</v>
      </c>
      <c r="F48" s="58">
        <v>8</v>
      </c>
      <c r="G48" s="43">
        <v>22</v>
      </c>
      <c r="H48" s="44">
        <v>58.4</v>
      </c>
      <c r="I48" s="44" t="s">
        <v>38</v>
      </c>
      <c r="J48" s="43">
        <v>120</v>
      </c>
      <c r="K48" s="44">
        <v>10.4</v>
      </c>
      <c r="L48" s="44" t="s">
        <v>122</v>
      </c>
      <c r="M48" s="43" t="s">
        <v>115</v>
      </c>
      <c r="N48" s="45">
        <v>15</v>
      </c>
      <c r="O48" s="45">
        <v>2</v>
      </c>
      <c r="P48" s="45">
        <v>1</v>
      </c>
      <c r="Q48" s="45">
        <v>1</v>
      </c>
      <c r="R48" s="46">
        <v>4.05</v>
      </c>
      <c r="S48" s="46">
        <v>4.0999999999999996</v>
      </c>
      <c r="T48" s="46">
        <v>293</v>
      </c>
      <c r="U48" s="47">
        <v>2984</v>
      </c>
      <c r="V48" s="23">
        <v>24</v>
      </c>
      <c r="W48" s="38">
        <v>0</v>
      </c>
      <c r="X48" s="38">
        <v>0</v>
      </c>
      <c r="Y48" s="38">
        <v>24</v>
      </c>
      <c r="Z48" s="38">
        <v>0</v>
      </c>
      <c r="AA48" s="44">
        <v>0</v>
      </c>
      <c r="AB48" s="44">
        <v>0</v>
      </c>
      <c r="AC48" s="52" t="s">
        <v>113</v>
      </c>
      <c r="AD48" s="40">
        <v>220</v>
      </c>
      <c r="AE48" s="40"/>
      <c r="AF48" s="41">
        <v>0</v>
      </c>
      <c r="AG48" s="40">
        <v>0</v>
      </c>
      <c r="AH48" s="38">
        <v>0</v>
      </c>
      <c r="AI48" s="38">
        <v>0</v>
      </c>
      <c r="AJ48" s="38">
        <v>1.1000000000000001</v>
      </c>
      <c r="AK48" s="38">
        <v>0</v>
      </c>
      <c r="AL48" s="24">
        <f t="shared" si="0"/>
        <v>1.1000000000000001</v>
      </c>
      <c r="AM48" s="12"/>
      <c r="AN48" s="12"/>
      <c r="AO48" s="12"/>
      <c r="AP48" s="12"/>
      <c r="AQ48" s="55">
        <f t="shared" si="3"/>
        <v>422.19999999999993</v>
      </c>
      <c r="AR48" s="38"/>
      <c r="AS48" s="38">
        <v>327</v>
      </c>
      <c r="AT48" s="26"/>
      <c r="AU48" s="49"/>
      <c r="AV48" s="136"/>
      <c r="AW48" s="137"/>
    </row>
    <row r="49" spans="1:49" ht="19.399999999999999" customHeight="1">
      <c r="A49" s="18" t="s">
        <v>134</v>
      </c>
      <c r="B49" s="18" t="s">
        <v>296</v>
      </c>
      <c r="C49" s="19" t="s">
        <v>127</v>
      </c>
      <c r="D49" s="19" t="s">
        <v>127</v>
      </c>
      <c r="E49" s="19" t="s">
        <v>297</v>
      </c>
      <c r="F49" s="58">
        <v>8</v>
      </c>
      <c r="G49" s="43">
        <v>22</v>
      </c>
      <c r="H49" s="44">
        <v>46.7</v>
      </c>
      <c r="I49" s="44" t="s">
        <v>38</v>
      </c>
      <c r="J49" s="43">
        <v>119</v>
      </c>
      <c r="K49" s="44">
        <v>58.4</v>
      </c>
      <c r="L49" s="44" t="s">
        <v>122</v>
      </c>
      <c r="M49" s="43" t="s">
        <v>115</v>
      </c>
      <c r="N49" s="45">
        <v>0</v>
      </c>
      <c r="O49" s="45">
        <v>4</v>
      </c>
      <c r="P49" s="45">
        <v>3</v>
      </c>
      <c r="Q49" s="45">
        <v>1</v>
      </c>
      <c r="R49" s="46">
        <v>4.1500000000000004</v>
      </c>
      <c r="S49" s="46">
        <v>4.3499999999999996</v>
      </c>
      <c r="T49" s="46">
        <v>247</v>
      </c>
      <c r="U49" s="47">
        <v>3135</v>
      </c>
      <c r="V49" s="23">
        <v>24</v>
      </c>
      <c r="W49" s="38">
        <v>1.5</v>
      </c>
      <c r="X49" s="38">
        <v>0.5</v>
      </c>
      <c r="Y49" s="38">
        <v>22</v>
      </c>
      <c r="Z49" s="38">
        <v>0</v>
      </c>
      <c r="AA49" s="44">
        <v>16.2</v>
      </c>
      <c r="AB49" s="44">
        <f>AA19/24</f>
        <v>0.76250000000000007</v>
      </c>
      <c r="AC49" s="52" t="s">
        <v>131</v>
      </c>
      <c r="AD49" s="40" t="s">
        <v>294</v>
      </c>
      <c r="AE49" s="40"/>
      <c r="AF49" s="41" t="s">
        <v>192</v>
      </c>
      <c r="AG49" s="40" t="s">
        <v>295</v>
      </c>
      <c r="AH49" s="38">
        <v>0.2</v>
      </c>
      <c r="AI49" s="38">
        <v>0.1</v>
      </c>
      <c r="AJ49" s="38">
        <v>1.9</v>
      </c>
      <c r="AK49" s="38">
        <v>0</v>
      </c>
      <c r="AL49" s="24">
        <f t="shared" si="0"/>
        <v>2.2000000000000002</v>
      </c>
      <c r="AM49" s="12"/>
      <c r="AN49" s="12"/>
      <c r="AO49" s="12"/>
      <c r="AP49" s="12"/>
      <c r="AQ49" s="55">
        <f t="shared" si="3"/>
        <v>419.99999999999994</v>
      </c>
      <c r="AR49" s="38"/>
      <c r="AS49" s="38">
        <v>322</v>
      </c>
      <c r="AT49" s="26"/>
      <c r="AU49" s="49"/>
      <c r="AV49" s="136"/>
      <c r="AW49" s="137"/>
    </row>
    <row r="50" spans="1:49" ht="19.399999999999999" customHeight="1">
      <c r="A50" s="18" t="s">
        <v>134</v>
      </c>
      <c r="B50" s="18" t="s">
        <v>296</v>
      </c>
      <c r="C50" s="19" t="s">
        <v>127</v>
      </c>
      <c r="D50" s="19" t="s">
        <v>127</v>
      </c>
      <c r="E50" s="19" t="s">
        <v>300</v>
      </c>
      <c r="F50" s="58">
        <v>8</v>
      </c>
      <c r="G50" s="43">
        <v>19</v>
      </c>
      <c r="H50" s="44">
        <v>58.1</v>
      </c>
      <c r="I50" s="44" t="s">
        <v>38</v>
      </c>
      <c r="J50" s="43">
        <v>117</v>
      </c>
      <c r="K50" s="44">
        <v>38</v>
      </c>
      <c r="L50" s="44" t="s">
        <v>122</v>
      </c>
      <c r="M50" s="43" t="s">
        <v>115</v>
      </c>
      <c r="N50" s="45">
        <v>0</v>
      </c>
      <c r="O50" s="45">
        <v>3</v>
      </c>
      <c r="P50" s="45">
        <v>2</v>
      </c>
      <c r="Q50" s="45">
        <v>1</v>
      </c>
      <c r="R50" s="46">
        <v>4.1500000000000004</v>
      </c>
      <c r="S50" s="46">
        <v>4.3499999999999996</v>
      </c>
      <c r="T50" s="46">
        <v>247</v>
      </c>
      <c r="U50" s="47">
        <v>3135</v>
      </c>
      <c r="V50" s="23">
        <v>24</v>
      </c>
      <c r="W50" s="38">
        <v>24</v>
      </c>
      <c r="X50" s="38">
        <v>0</v>
      </c>
      <c r="Y50" s="38">
        <v>0</v>
      </c>
      <c r="Z50" s="38">
        <v>0</v>
      </c>
      <c r="AA50" s="44">
        <v>203.9</v>
      </c>
      <c r="AB50" s="44">
        <f>AA50/24</f>
        <v>8.4958333333333336</v>
      </c>
      <c r="AC50" s="52" t="s">
        <v>131</v>
      </c>
      <c r="AD50" s="40" t="s">
        <v>298</v>
      </c>
      <c r="AE50" s="40"/>
      <c r="AF50" s="41" t="s">
        <v>135</v>
      </c>
      <c r="AG50" s="40" t="s">
        <v>299</v>
      </c>
      <c r="AH50" s="38">
        <v>5.4</v>
      </c>
      <c r="AI50" s="38">
        <v>0</v>
      </c>
      <c r="AJ50" s="38">
        <v>0</v>
      </c>
      <c r="AK50" s="38">
        <v>0</v>
      </c>
      <c r="AL50" s="24">
        <f t="shared" si="0"/>
        <v>5.4</v>
      </c>
      <c r="AM50" s="12"/>
      <c r="AN50" s="12"/>
      <c r="AO50" s="12"/>
      <c r="AP50" s="12"/>
      <c r="AQ50" s="55">
        <f t="shared" si="3"/>
        <v>414.59999999999997</v>
      </c>
      <c r="AR50" s="38"/>
      <c r="AS50" s="38">
        <v>314</v>
      </c>
      <c r="AT50" s="26"/>
      <c r="AU50" s="49"/>
      <c r="AV50" s="136"/>
      <c r="AW50" s="137"/>
    </row>
    <row r="51" spans="1:49" ht="19.399999999999999" customHeight="1">
      <c r="A51" s="18" t="s">
        <v>134</v>
      </c>
      <c r="B51" s="18" t="s">
        <v>296</v>
      </c>
      <c r="C51" s="19" t="s">
        <v>127</v>
      </c>
      <c r="D51" s="19" t="s">
        <v>127</v>
      </c>
      <c r="E51" s="19" t="s">
        <v>301</v>
      </c>
      <c r="F51" s="58">
        <v>8</v>
      </c>
      <c r="G51" s="43">
        <v>18</v>
      </c>
      <c r="H51" s="44">
        <v>58.1</v>
      </c>
      <c r="I51" s="44" t="s">
        <v>38</v>
      </c>
      <c r="J51" s="43">
        <v>116</v>
      </c>
      <c r="K51" s="44">
        <v>0</v>
      </c>
      <c r="L51" s="44" t="s">
        <v>122</v>
      </c>
      <c r="M51" s="43" t="s">
        <v>115</v>
      </c>
      <c r="N51" s="45">
        <v>3</v>
      </c>
      <c r="O51" s="45">
        <v>2</v>
      </c>
      <c r="P51" s="45">
        <v>2</v>
      </c>
      <c r="Q51" s="45">
        <v>1</v>
      </c>
      <c r="R51" s="46">
        <v>4.1500000000000004</v>
      </c>
      <c r="S51" s="46">
        <v>4.3499999999999996</v>
      </c>
      <c r="T51" s="46">
        <v>247</v>
      </c>
      <c r="U51" s="47">
        <v>3135</v>
      </c>
      <c r="V51" s="23">
        <v>24</v>
      </c>
      <c r="W51" s="38">
        <v>19.2</v>
      </c>
      <c r="X51" s="38">
        <v>4.8</v>
      </c>
      <c r="Y51" s="38">
        <v>0</v>
      </c>
      <c r="Z51" s="38">
        <v>0</v>
      </c>
      <c r="AA51" s="44">
        <v>159.30000000000001</v>
      </c>
      <c r="AB51" s="44">
        <v>6.6</v>
      </c>
      <c r="AC51" s="52" t="s">
        <v>131</v>
      </c>
      <c r="AD51" s="40" t="s">
        <v>302</v>
      </c>
      <c r="AE51" s="40"/>
      <c r="AF51" s="41" t="s">
        <v>303</v>
      </c>
      <c r="AG51" s="40" t="s">
        <v>304</v>
      </c>
      <c r="AH51" s="38">
        <v>4</v>
      </c>
      <c r="AI51" s="38">
        <v>1.3</v>
      </c>
      <c r="AJ51" s="38">
        <v>0</v>
      </c>
      <c r="AK51" s="38">
        <v>0</v>
      </c>
      <c r="AL51" s="24">
        <f t="shared" si="0"/>
        <v>5.3</v>
      </c>
      <c r="AM51" s="12"/>
      <c r="AN51" s="12"/>
      <c r="AO51" s="12"/>
      <c r="AP51" s="12"/>
      <c r="AQ51" s="55">
        <f t="shared" si="3"/>
        <v>409.29999999999995</v>
      </c>
      <c r="AR51" s="38"/>
      <c r="AS51" s="38">
        <v>308</v>
      </c>
      <c r="AT51" s="26"/>
      <c r="AU51" s="49"/>
      <c r="AV51" s="143"/>
      <c r="AW51" s="144"/>
    </row>
    <row r="52" spans="1:49" ht="19.399999999999999" customHeight="1">
      <c r="A52" s="18" t="s">
        <v>134</v>
      </c>
      <c r="B52" s="18" t="s">
        <v>296</v>
      </c>
      <c r="C52" s="19" t="s">
        <v>127</v>
      </c>
      <c r="D52" s="19" t="s">
        <v>127</v>
      </c>
      <c r="E52" s="19" t="s">
        <v>308</v>
      </c>
      <c r="F52" s="58">
        <v>8</v>
      </c>
      <c r="G52" s="43">
        <v>18</v>
      </c>
      <c r="H52" s="44">
        <v>0</v>
      </c>
      <c r="I52" s="44" t="s">
        <v>38</v>
      </c>
      <c r="J52" s="43">
        <v>115</v>
      </c>
      <c r="K52" s="44">
        <v>59.9</v>
      </c>
      <c r="L52" s="44" t="s">
        <v>122</v>
      </c>
      <c r="M52" s="43" t="s">
        <v>115</v>
      </c>
      <c r="N52" s="45">
        <v>3</v>
      </c>
      <c r="O52" s="45">
        <v>2</v>
      </c>
      <c r="P52" s="45">
        <v>2</v>
      </c>
      <c r="Q52" s="45">
        <v>1</v>
      </c>
      <c r="R52" s="46">
        <v>4.1500000000000004</v>
      </c>
      <c r="S52" s="46">
        <v>4.3499999999999996</v>
      </c>
      <c r="T52" s="46">
        <v>247</v>
      </c>
      <c r="U52" s="47">
        <v>3135</v>
      </c>
      <c r="V52" s="23">
        <v>24</v>
      </c>
      <c r="W52" s="38">
        <v>0</v>
      </c>
      <c r="X52" s="38">
        <v>24</v>
      </c>
      <c r="Y52" s="38">
        <v>0</v>
      </c>
      <c r="Z52" s="38">
        <v>0</v>
      </c>
      <c r="AA52" s="44">
        <v>9.4</v>
      </c>
      <c r="AB52" s="44">
        <v>0.4</v>
      </c>
      <c r="AC52" s="52" t="s">
        <v>131</v>
      </c>
      <c r="AD52" s="42" t="s">
        <v>305</v>
      </c>
      <c r="AE52" s="40"/>
      <c r="AF52" s="41" t="s">
        <v>306</v>
      </c>
      <c r="AG52" s="40" t="s">
        <v>307</v>
      </c>
      <c r="AH52" s="38">
        <v>0</v>
      </c>
      <c r="AI52" s="38">
        <v>3.3</v>
      </c>
      <c r="AJ52" s="38">
        <v>0</v>
      </c>
      <c r="AK52" s="38">
        <v>0</v>
      </c>
      <c r="AL52" s="24">
        <f t="shared" si="0"/>
        <v>3.3</v>
      </c>
      <c r="AM52" s="12"/>
      <c r="AN52" s="12"/>
      <c r="AO52" s="12"/>
      <c r="AP52" s="12"/>
      <c r="AQ52" s="55">
        <f t="shared" si="3"/>
        <v>405.99999999999994</v>
      </c>
      <c r="AR52" s="38"/>
      <c r="AS52" s="38">
        <v>297</v>
      </c>
      <c r="AT52" s="26"/>
      <c r="AU52" s="49"/>
      <c r="AV52" s="142"/>
      <c r="AW52" s="137"/>
    </row>
    <row r="53" spans="1:49" ht="19.399999999999999" customHeight="1">
      <c r="A53" s="18" t="s">
        <v>134</v>
      </c>
      <c r="B53" s="18" t="s">
        <v>296</v>
      </c>
      <c r="C53" s="19" t="s">
        <v>127</v>
      </c>
      <c r="D53" s="19" t="s">
        <v>127</v>
      </c>
      <c r="E53" s="19" t="s">
        <v>312</v>
      </c>
      <c r="F53" s="58">
        <v>8</v>
      </c>
      <c r="G53" s="43">
        <v>18</v>
      </c>
      <c r="H53" s="44">
        <v>0</v>
      </c>
      <c r="I53" s="44" t="s">
        <v>38</v>
      </c>
      <c r="J53" s="43">
        <v>115</v>
      </c>
      <c r="K53" s="44">
        <v>59.9</v>
      </c>
      <c r="L53" s="44" t="s">
        <v>122</v>
      </c>
      <c r="M53" s="43" t="s">
        <v>115</v>
      </c>
      <c r="N53" s="45">
        <v>3</v>
      </c>
      <c r="O53" s="45">
        <v>4</v>
      </c>
      <c r="P53" s="45">
        <v>3</v>
      </c>
      <c r="Q53" s="45">
        <v>1</v>
      </c>
      <c r="R53" s="46">
        <v>4.1500000000000004</v>
      </c>
      <c r="S53" s="46">
        <v>4.3499999999999996</v>
      </c>
      <c r="T53" s="46">
        <v>247</v>
      </c>
      <c r="U53" s="47">
        <v>3135</v>
      </c>
      <c r="V53" s="23">
        <v>24</v>
      </c>
      <c r="W53" s="38">
        <v>0</v>
      </c>
      <c r="X53" s="38">
        <v>24</v>
      </c>
      <c r="Y53" s="38">
        <v>0</v>
      </c>
      <c r="Z53" s="38">
        <v>0</v>
      </c>
      <c r="AA53" s="44">
        <v>13.2</v>
      </c>
      <c r="AB53" s="44">
        <v>0.5</v>
      </c>
      <c r="AC53" s="52" t="s">
        <v>131</v>
      </c>
      <c r="AD53" s="42" t="s">
        <v>309</v>
      </c>
      <c r="AE53" s="40"/>
      <c r="AF53" s="41" t="s">
        <v>310</v>
      </c>
      <c r="AG53" s="40" t="s">
        <v>311</v>
      </c>
      <c r="AH53" s="38">
        <v>0</v>
      </c>
      <c r="AI53" s="38">
        <v>3.3</v>
      </c>
      <c r="AJ53" s="38">
        <v>0</v>
      </c>
      <c r="AK53" s="38">
        <v>0</v>
      </c>
      <c r="AL53" s="24">
        <f t="shared" si="0"/>
        <v>3.3</v>
      </c>
      <c r="AM53" s="12"/>
      <c r="AN53" s="12"/>
      <c r="AO53" s="12"/>
      <c r="AP53" s="12"/>
      <c r="AQ53" s="55">
        <f t="shared" si="3"/>
        <v>402.69999999999993</v>
      </c>
      <c r="AR53" s="38"/>
      <c r="AS53" s="38">
        <v>286</v>
      </c>
      <c r="AT53" s="26"/>
      <c r="AU53" s="49"/>
      <c r="AV53" s="142"/>
      <c r="AW53" s="137"/>
    </row>
    <row r="54" spans="1:49" ht="19.399999999999999" customHeight="1">
      <c r="A54" s="18" t="s">
        <v>134</v>
      </c>
      <c r="B54" s="18" t="s">
        <v>296</v>
      </c>
      <c r="C54" s="19" t="s">
        <v>127</v>
      </c>
      <c r="D54" s="19" t="s">
        <v>127</v>
      </c>
      <c r="E54" s="19" t="s">
        <v>315</v>
      </c>
      <c r="F54" s="58">
        <v>8</v>
      </c>
      <c r="G54" s="43">
        <v>18</v>
      </c>
      <c r="H54" s="44">
        <v>0</v>
      </c>
      <c r="I54" s="44" t="s">
        <v>38</v>
      </c>
      <c r="J54" s="43">
        <v>115</v>
      </c>
      <c r="K54" s="44">
        <v>59.9</v>
      </c>
      <c r="L54" s="44" t="s">
        <v>122</v>
      </c>
      <c r="M54" s="43" t="s">
        <v>115</v>
      </c>
      <c r="N54" s="45">
        <v>3</v>
      </c>
      <c r="O54" s="45">
        <v>3</v>
      </c>
      <c r="P54" s="45">
        <v>2</v>
      </c>
      <c r="Q54" s="45">
        <v>1</v>
      </c>
      <c r="R54" s="46">
        <v>4.1500000000000004</v>
      </c>
      <c r="S54" s="46">
        <v>4.3499999999999996</v>
      </c>
      <c r="T54" s="46">
        <v>247</v>
      </c>
      <c r="U54" s="47">
        <v>3135</v>
      </c>
      <c r="V54" s="23">
        <v>24</v>
      </c>
      <c r="W54" s="38">
        <v>0</v>
      </c>
      <c r="X54" s="38">
        <v>24</v>
      </c>
      <c r="Y54" s="38">
        <v>0</v>
      </c>
      <c r="Z54" s="38">
        <v>0</v>
      </c>
      <c r="AA54" s="44">
        <v>13.5</v>
      </c>
      <c r="AB54" s="44">
        <v>0.5</v>
      </c>
      <c r="AC54" s="52" t="s">
        <v>131</v>
      </c>
      <c r="AD54" s="40" t="s">
        <v>313</v>
      </c>
      <c r="AE54" s="40"/>
      <c r="AF54" s="41" t="s">
        <v>314</v>
      </c>
      <c r="AG54" s="40" t="s">
        <v>304</v>
      </c>
      <c r="AH54" s="38">
        <v>0</v>
      </c>
      <c r="AI54" s="38">
        <v>3.8</v>
      </c>
      <c r="AJ54" s="38">
        <v>0</v>
      </c>
      <c r="AK54" s="38">
        <v>0</v>
      </c>
      <c r="AL54" s="24">
        <f t="shared" si="0"/>
        <v>3.8</v>
      </c>
      <c r="AM54" s="12"/>
      <c r="AN54" s="12"/>
      <c r="AO54" s="12"/>
      <c r="AP54" s="12"/>
      <c r="AQ54" s="55">
        <f t="shared" ref="AQ54:AQ100" si="4">AQ53+AM54-AL54</f>
        <v>398.89999999999992</v>
      </c>
      <c r="AR54" s="38"/>
      <c r="AS54" s="38">
        <v>277</v>
      </c>
      <c r="AT54" s="26"/>
      <c r="AU54" s="49"/>
      <c r="AV54" s="136"/>
      <c r="AW54" s="137"/>
    </row>
    <row r="55" spans="1:49" ht="19.399999999999999" customHeight="1">
      <c r="A55" s="18" t="s">
        <v>134</v>
      </c>
      <c r="B55" s="18" t="s">
        <v>296</v>
      </c>
      <c r="C55" s="19" t="s">
        <v>127</v>
      </c>
      <c r="D55" s="19" t="s">
        <v>127</v>
      </c>
      <c r="E55" s="19" t="s">
        <v>319</v>
      </c>
      <c r="F55" s="58">
        <v>8</v>
      </c>
      <c r="G55" s="43">
        <v>18</v>
      </c>
      <c r="H55" s="44">
        <v>0</v>
      </c>
      <c r="I55" s="44" t="s">
        <v>38</v>
      </c>
      <c r="J55" s="43">
        <v>115</v>
      </c>
      <c r="K55" s="44">
        <v>59.9</v>
      </c>
      <c r="L55" s="44" t="s">
        <v>122</v>
      </c>
      <c r="M55" s="43" t="s">
        <v>115</v>
      </c>
      <c r="N55" s="45">
        <v>3</v>
      </c>
      <c r="O55" s="45">
        <v>3</v>
      </c>
      <c r="P55" s="45">
        <v>2</v>
      </c>
      <c r="Q55" s="45">
        <v>1</v>
      </c>
      <c r="R55" s="46">
        <v>4.1500000000000004</v>
      </c>
      <c r="S55" s="46">
        <v>4.3499999999999996</v>
      </c>
      <c r="T55" s="46">
        <v>247</v>
      </c>
      <c r="U55" s="47">
        <v>3135</v>
      </c>
      <c r="V55" s="23">
        <v>24</v>
      </c>
      <c r="W55" s="38">
        <v>0</v>
      </c>
      <c r="X55" s="38">
        <v>24</v>
      </c>
      <c r="Y55" s="38">
        <v>0</v>
      </c>
      <c r="Z55" s="38">
        <v>0</v>
      </c>
      <c r="AA55" s="44">
        <v>4.5999999999999996</v>
      </c>
      <c r="AB55" s="44">
        <v>0.2</v>
      </c>
      <c r="AC55" s="52" t="s">
        <v>131</v>
      </c>
      <c r="AD55" s="40" t="s">
        <v>316</v>
      </c>
      <c r="AE55" s="40"/>
      <c r="AF55" s="41" t="s">
        <v>317</v>
      </c>
      <c r="AG55" s="40" t="s">
        <v>318</v>
      </c>
      <c r="AH55" s="38">
        <v>0</v>
      </c>
      <c r="AI55" s="38">
        <v>3.4</v>
      </c>
      <c r="AJ55" s="38">
        <v>0</v>
      </c>
      <c r="AK55" s="38">
        <v>0</v>
      </c>
      <c r="AL55" s="24">
        <f t="shared" si="0"/>
        <v>3.4</v>
      </c>
      <c r="AM55" s="12"/>
      <c r="AN55" s="12"/>
      <c r="AO55" s="12"/>
      <c r="AP55" s="12"/>
      <c r="AQ55" s="55">
        <f t="shared" si="4"/>
        <v>395.49999999999994</v>
      </c>
      <c r="AR55" s="38"/>
      <c r="AS55" s="38">
        <v>268</v>
      </c>
      <c r="AT55" s="26"/>
      <c r="AU55" s="49"/>
      <c r="AV55" s="136"/>
      <c r="AW55" s="137"/>
    </row>
    <row r="56" spans="1:49" ht="19.399999999999999" customHeight="1">
      <c r="A56" s="18" t="s">
        <v>134</v>
      </c>
      <c r="B56" s="18" t="s">
        <v>296</v>
      </c>
      <c r="C56" s="19" t="s">
        <v>127</v>
      </c>
      <c r="D56" s="19" t="s">
        <v>127</v>
      </c>
      <c r="E56" s="19" t="s">
        <v>322</v>
      </c>
      <c r="F56" s="58">
        <v>8</v>
      </c>
      <c r="G56" s="43">
        <v>19</v>
      </c>
      <c r="H56" s="44">
        <v>54.8</v>
      </c>
      <c r="I56" s="44" t="s">
        <v>38</v>
      </c>
      <c r="J56" s="43">
        <v>117</v>
      </c>
      <c r="K56" s="44">
        <v>34.700000000000003</v>
      </c>
      <c r="L56" s="44" t="s">
        <v>122</v>
      </c>
      <c r="M56" s="43" t="s">
        <v>115</v>
      </c>
      <c r="N56" s="45">
        <v>3</v>
      </c>
      <c r="O56" s="45">
        <v>3</v>
      </c>
      <c r="P56" s="45">
        <v>3</v>
      </c>
      <c r="Q56" s="45">
        <v>1</v>
      </c>
      <c r="R56" s="46">
        <v>4.1500000000000004</v>
      </c>
      <c r="S56" s="46">
        <v>4.3499999999999996</v>
      </c>
      <c r="T56" s="46">
        <v>247</v>
      </c>
      <c r="U56" s="47">
        <v>3135</v>
      </c>
      <c r="V56" s="23">
        <v>24</v>
      </c>
      <c r="W56" s="38">
        <v>17.5</v>
      </c>
      <c r="X56" s="38">
        <v>6.5</v>
      </c>
      <c r="Y56" s="38">
        <v>0</v>
      </c>
      <c r="Z56" s="38">
        <v>0</v>
      </c>
      <c r="AA56" s="44">
        <v>145.19999999999999</v>
      </c>
      <c r="AB56" s="44">
        <v>6</v>
      </c>
      <c r="AC56" s="52" t="s">
        <v>131</v>
      </c>
      <c r="AD56" s="40" t="s">
        <v>320</v>
      </c>
      <c r="AE56" s="40"/>
      <c r="AF56" s="41" t="s">
        <v>135</v>
      </c>
      <c r="AG56" s="40" t="s">
        <v>321</v>
      </c>
      <c r="AH56" s="38">
        <v>3</v>
      </c>
      <c r="AI56" s="38">
        <v>1.8</v>
      </c>
      <c r="AJ56" s="38">
        <v>0</v>
      </c>
      <c r="AK56" s="38">
        <v>0</v>
      </c>
      <c r="AL56" s="24">
        <f t="shared" si="0"/>
        <v>4.8</v>
      </c>
      <c r="AM56" s="12"/>
      <c r="AN56" s="12"/>
      <c r="AO56" s="12"/>
      <c r="AP56" s="12"/>
      <c r="AQ56" s="55">
        <f t="shared" si="4"/>
        <v>390.69999999999993</v>
      </c>
      <c r="AR56" s="38"/>
      <c r="AS56" s="38">
        <v>262</v>
      </c>
      <c r="AT56" s="26"/>
      <c r="AU56" s="49"/>
      <c r="AV56" s="136"/>
      <c r="AW56" s="137"/>
    </row>
    <row r="57" spans="1:49" ht="19.399999999999999" customHeight="1">
      <c r="A57" s="18" t="s">
        <v>134</v>
      </c>
      <c r="B57" s="18" t="s">
        <v>296</v>
      </c>
      <c r="C57" s="19" t="s">
        <v>127</v>
      </c>
      <c r="D57" s="19" t="s">
        <v>127</v>
      </c>
      <c r="E57" s="19" t="s">
        <v>325</v>
      </c>
      <c r="F57" s="58">
        <v>8</v>
      </c>
      <c r="G57" s="43">
        <v>22</v>
      </c>
      <c r="H57" s="44">
        <v>25.4</v>
      </c>
      <c r="I57" s="44" t="s">
        <v>38</v>
      </c>
      <c r="J57" s="43">
        <v>119</v>
      </c>
      <c r="K57" s="44">
        <v>40.6</v>
      </c>
      <c r="L57" s="44" t="s">
        <v>122</v>
      </c>
      <c r="M57" s="43" t="s">
        <v>115</v>
      </c>
      <c r="N57" s="45">
        <v>3</v>
      </c>
      <c r="O57" s="45">
        <v>3</v>
      </c>
      <c r="P57" s="45">
        <v>3</v>
      </c>
      <c r="Q57" s="45">
        <v>1</v>
      </c>
      <c r="R57" s="46">
        <v>4.1500000000000004</v>
      </c>
      <c r="S57" s="46">
        <v>4.3499999999999996</v>
      </c>
      <c r="T57" s="46">
        <v>247</v>
      </c>
      <c r="U57" s="47">
        <v>3135</v>
      </c>
      <c r="V57" s="23">
        <v>24</v>
      </c>
      <c r="W57" s="38">
        <v>24</v>
      </c>
      <c r="X57" s="38">
        <v>0</v>
      </c>
      <c r="Y57" s="38">
        <v>0</v>
      </c>
      <c r="Z57" s="38">
        <v>0</v>
      </c>
      <c r="AA57" s="44">
        <v>190.4</v>
      </c>
      <c r="AB57" s="44">
        <v>7.9</v>
      </c>
      <c r="AC57" s="52" t="s">
        <v>131</v>
      </c>
      <c r="AD57" s="40" t="s">
        <v>323</v>
      </c>
      <c r="AE57" s="40"/>
      <c r="AF57" s="41" t="s">
        <v>324</v>
      </c>
      <c r="AG57" s="40" t="s">
        <v>219</v>
      </c>
      <c r="AH57" s="38">
        <v>5.4</v>
      </c>
      <c r="AI57" s="38">
        <v>0</v>
      </c>
      <c r="AJ57" s="38">
        <v>0</v>
      </c>
      <c r="AK57" s="38">
        <v>0</v>
      </c>
      <c r="AL57" s="24">
        <f t="shared" si="0"/>
        <v>5.4</v>
      </c>
      <c r="AM57" s="12"/>
      <c r="AN57" s="12"/>
      <c r="AO57" s="12"/>
      <c r="AP57" s="12"/>
      <c r="AQ57" s="55">
        <f t="shared" si="4"/>
        <v>385.29999999999995</v>
      </c>
      <c r="AR57" s="38"/>
      <c r="AS57" s="38">
        <v>255</v>
      </c>
      <c r="AT57" s="26"/>
      <c r="AU57" s="49"/>
      <c r="AV57" s="136"/>
      <c r="AW57" s="137"/>
    </row>
    <row r="58" spans="1:49" ht="19.399999999999999" customHeight="1">
      <c r="A58" s="18" t="s">
        <v>134</v>
      </c>
      <c r="B58" s="18" t="s">
        <v>296</v>
      </c>
      <c r="C58" s="19" t="s">
        <v>127</v>
      </c>
      <c r="D58" s="19" t="s">
        <v>127</v>
      </c>
      <c r="E58" s="19" t="s">
        <v>326</v>
      </c>
      <c r="F58" s="58">
        <v>8</v>
      </c>
      <c r="G58" s="43">
        <v>22</v>
      </c>
      <c r="H58" s="44">
        <v>58.4</v>
      </c>
      <c r="I58" s="44" t="s">
        <v>38</v>
      </c>
      <c r="J58" s="43">
        <v>120</v>
      </c>
      <c r="K58" s="44">
        <v>10.4</v>
      </c>
      <c r="L58" s="44" t="s">
        <v>122</v>
      </c>
      <c r="M58" s="43" t="s">
        <v>115</v>
      </c>
      <c r="N58" s="45">
        <v>3</v>
      </c>
      <c r="O58" s="45">
        <v>2</v>
      </c>
      <c r="P58" s="45">
        <v>2</v>
      </c>
      <c r="Q58" s="45">
        <v>1</v>
      </c>
      <c r="R58" s="46">
        <v>4.1500000000000004</v>
      </c>
      <c r="S58" s="46">
        <v>4.3499999999999996</v>
      </c>
      <c r="T58" s="46">
        <v>247</v>
      </c>
      <c r="U58" s="47">
        <v>3135</v>
      </c>
      <c r="V58" s="23">
        <v>24</v>
      </c>
      <c r="W58" s="38">
        <v>7</v>
      </c>
      <c r="X58" s="38">
        <v>14.3</v>
      </c>
      <c r="Y58" s="38">
        <v>2.7</v>
      </c>
      <c r="Z58" s="38">
        <v>0</v>
      </c>
      <c r="AA58" s="44">
        <v>51.6</v>
      </c>
      <c r="AB58" s="44">
        <v>2.1</v>
      </c>
      <c r="AC58" s="52" t="s">
        <v>113</v>
      </c>
      <c r="AD58" s="40">
        <v>245</v>
      </c>
      <c r="AE58" s="40"/>
      <c r="AF58" s="41">
        <v>0</v>
      </c>
      <c r="AG58" s="40">
        <v>0</v>
      </c>
      <c r="AH58" s="38">
        <v>2</v>
      </c>
      <c r="AI58" s="38">
        <v>1.4</v>
      </c>
      <c r="AJ58" s="38">
        <v>0.1</v>
      </c>
      <c r="AK58" s="38">
        <v>0</v>
      </c>
      <c r="AL58" s="24">
        <f t="shared" si="0"/>
        <v>3.5</v>
      </c>
      <c r="AM58" s="12"/>
      <c r="AN58" s="12"/>
      <c r="AO58" s="12"/>
      <c r="AP58" s="12"/>
      <c r="AQ58" s="55">
        <f t="shared" si="4"/>
        <v>381.79999999999995</v>
      </c>
      <c r="AR58" s="38"/>
      <c r="AS58" s="38">
        <v>246</v>
      </c>
      <c r="AT58" s="26"/>
      <c r="AU58" s="49"/>
      <c r="AV58" s="136"/>
      <c r="AW58" s="137"/>
    </row>
    <row r="59" spans="1:49" ht="19.399999999999999" customHeight="1">
      <c r="A59" s="18" t="s">
        <v>134</v>
      </c>
      <c r="B59" s="18" t="s">
        <v>296</v>
      </c>
      <c r="C59" s="19" t="s">
        <v>127</v>
      </c>
      <c r="D59" s="19" t="s">
        <v>127</v>
      </c>
      <c r="E59" s="19" t="s">
        <v>327</v>
      </c>
      <c r="F59" s="58">
        <v>8</v>
      </c>
      <c r="G59" s="43">
        <v>22</v>
      </c>
      <c r="H59" s="44">
        <v>58.4</v>
      </c>
      <c r="I59" s="44" t="s">
        <v>38</v>
      </c>
      <c r="J59" s="43">
        <v>120</v>
      </c>
      <c r="K59" s="44">
        <v>10.4</v>
      </c>
      <c r="L59" s="44" t="s">
        <v>122</v>
      </c>
      <c r="M59" s="43" t="s">
        <v>115</v>
      </c>
      <c r="N59" s="45">
        <v>3</v>
      </c>
      <c r="O59" s="45">
        <v>2</v>
      </c>
      <c r="P59" s="45">
        <v>2</v>
      </c>
      <c r="Q59" s="45">
        <v>1</v>
      </c>
      <c r="R59" s="46">
        <v>4.1500000000000004</v>
      </c>
      <c r="S59" s="46">
        <v>4.3499999999999996</v>
      </c>
      <c r="T59" s="46">
        <v>247</v>
      </c>
      <c r="U59" s="47">
        <v>3135</v>
      </c>
      <c r="V59" s="23">
        <v>24</v>
      </c>
      <c r="W59" s="38">
        <v>0</v>
      </c>
      <c r="X59" s="38">
        <v>0</v>
      </c>
      <c r="Y59" s="38">
        <v>24</v>
      </c>
      <c r="Z59" s="38">
        <v>0</v>
      </c>
      <c r="AA59" s="44">
        <v>0</v>
      </c>
      <c r="AB59" s="44">
        <v>0</v>
      </c>
      <c r="AC59" s="52" t="s">
        <v>113</v>
      </c>
      <c r="AD59" s="40">
        <v>222</v>
      </c>
      <c r="AE59" s="40"/>
      <c r="AF59" s="41">
        <v>0</v>
      </c>
      <c r="AG59" s="40">
        <v>0</v>
      </c>
      <c r="AH59" s="38">
        <v>0</v>
      </c>
      <c r="AI59" s="38">
        <v>0</v>
      </c>
      <c r="AJ59" s="38">
        <v>2</v>
      </c>
      <c r="AK59" s="38">
        <v>0</v>
      </c>
      <c r="AL59" s="24">
        <f t="shared" si="0"/>
        <v>2</v>
      </c>
      <c r="AM59" s="12"/>
      <c r="AN59" s="12"/>
      <c r="AO59" s="12"/>
      <c r="AP59" s="12"/>
      <c r="AQ59" s="55">
        <f t="shared" si="4"/>
        <v>379.79999999999995</v>
      </c>
      <c r="AR59" s="38"/>
      <c r="AS59" s="38">
        <v>241</v>
      </c>
      <c r="AT59" s="26"/>
      <c r="AU59" s="49"/>
      <c r="AV59" s="136" t="s">
        <v>328</v>
      </c>
      <c r="AW59" s="137"/>
    </row>
    <row r="60" spans="1:49" ht="19.399999999999999" customHeight="1">
      <c r="A60" s="18" t="s">
        <v>134</v>
      </c>
      <c r="B60" s="18" t="s">
        <v>333</v>
      </c>
      <c r="C60" s="19" t="s">
        <v>127</v>
      </c>
      <c r="D60" s="19" t="s">
        <v>127</v>
      </c>
      <c r="E60" s="19" t="s">
        <v>332</v>
      </c>
      <c r="F60" s="58">
        <v>8</v>
      </c>
      <c r="G60" s="43">
        <v>22</v>
      </c>
      <c r="H60" s="44">
        <v>55.3</v>
      </c>
      <c r="I60" s="44" t="s">
        <v>38</v>
      </c>
      <c r="J60" s="43">
        <v>120</v>
      </c>
      <c r="K60" s="44">
        <v>5.3</v>
      </c>
      <c r="L60" s="44" t="s">
        <v>122</v>
      </c>
      <c r="M60" s="43" t="s">
        <v>115</v>
      </c>
      <c r="N60" s="45">
        <v>3</v>
      </c>
      <c r="O60" s="45">
        <v>2</v>
      </c>
      <c r="P60" s="45">
        <v>2</v>
      </c>
      <c r="Q60" s="45">
        <v>1</v>
      </c>
      <c r="R60" s="46">
        <v>4.0999999999999996</v>
      </c>
      <c r="S60" s="46">
        <v>4.2</v>
      </c>
      <c r="T60" s="46">
        <v>247</v>
      </c>
      <c r="U60" s="47">
        <v>3135</v>
      </c>
      <c r="V60" s="23">
        <v>24</v>
      </c>
      <c r="W60" s="38">
        <v>0.7</v>
      </c>
      <c r="X60" s="38">
        <v>0.5</v>
      </c>
      <c r="Y60" s="38">
        <v>22.8</v>
      </c>
      <c r="Z60" s="38">
        <v>0</v>
      </c>
      <c r="AA60" s="44">
        <v>5.8</v>
      </c>
      <c r="AB60" s="44">
        <v>0.2</v>
      </c>
      <c r="AC60" s="52" t="s">
        <v>124</v>
      </c>
      <c r="AD60" s="40" t="s">
        <v>329</v>
      </c>
      <c r="AE60" s="40"/>
      <c r="AF60" s="41" t="s">
        <v>121</v>
      </c>
      <c r="AG60" s="40" t="s">
        <v>330</v>
      </c>
      <c r="AH60" s="38">
        <v>0.4</v>
      </c>
      <c r="AI60" s="38">
        <v>0.1</v>
      </c>
      <c r="AJ60" s="38">
        <v>1.9</v>
      </c>
      <c r="AK60" s="38">
        <v>0</v>
      </c>
      <c r="AL60" s="24">
        <f t="shared" si="0"/>
        <v>2.4</v>
      </c>
      <c r="AM60" s="12"/>
      <c r="AN60" s="12"/>
      <c r="AO60" s="12"/>
      <c r="AP60" s="12"/>
      <c r="AQ60" s="55">
        <f t="shared" si="4"/>
        <v>377.4</v>
      </c>
      <c r="AR60" s="38"/>
      <c r="AS60" s="38">
        <v>333</v>
      </c>
      <c r="AT60" s="26"/>
      <c r="AU60" s="49"/>
      <c r="AV60" s="136" t="s">
        <v>331</v>
      </c>
      <c r="AW60" s="137"/>
    </row>
    <row r="61" spans="1:49" ht="19.399999999999999" customHeight="1">
      <c r="A61" s="18" t="s">
        <v>134</v>
      </c>
      <c r="B61" s="18" t="s">
        <v>333</v>
      </c>
      <c r="C61" s="19" t="s">
        <v>127</v>
      </c>
      <c r="D61" s="19" t="s">
        <v>127</v>
      </c>
      <c r="E61" s="19" t="s">
        <v>334</v>
      </c>
      <c r="F61" s="58">
        <v>8</v>
      </c>
      <c r="G61" s="43">
        <v>22</v>
      </c>
      <c r="H61" s="44">
        <v>58.4</v>
      </c>
      <c r="I61" s="44" t="s">
        <v>38</v>
      </c>
      <c r="J61" s="43">
        <v>120</v>
      </c>
      <c r="K61" s="44">
        <v>10.4</v>
      </c>
      <c r="L61" s="44" t="s">
        <v>122</v>
      </c>
      <c r="M61" s="43" t="s">
        <v>115</v>
      </c>
      <c r="N61" s="45">
        <v>3</v>
      </c>
      <c r="O61" s="45">
        <v>2</v>
      </c>
      <c r="P61" s="45">
        <v>2</v>
      </c>
      <c r="Q61" s="45">
        <v>1</v>
      </c>
      <c r="R61" s="46">
        <v>4.0999999999999996</v>
      </c>
      <c r="S61" s="46">
        <v>4.2</v>
      </c>
      <c r="T61" s="46">
        <v>247</v>
      </c>
      <c r="U61" s="47">
        <v>3135</v>
      </c>
      <c r="V61" s="23">
        <v>24</v>
      </c>
      <c r="W61" s="38">
        <v>0</v>
      </c>
      <c r="X61" s="38">
        <v>0</v>
      </c>
      <c r="Y61" s="38">
        <v>24</v>
      </c>
      <c r="Z61" s="38">
        <v>0</v>
      </c>
      <c r="AA61" s="44">
        <v>0</v>
      </c>
      <c r="AB61" s="44">
        <v>0</v>
      </c>
      <c r="AC61" s="52" t="s">
        <v>113</v>
      </c>
      <c r="AD61" s="40">
        <v>215</v>
      </c>
      <c r="AE61" s="40"/>
      <c r="AF61" s="41">
        <v>0</v>
      </c>
      <c r="AG61" s="40">
        <v>0</v>
      </c>
      <c r="AH61" s="38">
        <v>0.4</v>
      </c>
      <c r="AI61" s="38">
        <v>0.1</v>
      </c>
      <c r="AJ61" s="38">
        <v>1.2</v>
      </c>
      <c r="AK61" s="38">
        <v>0</v>
      </c>
      <c r="AL61" s="24">
        <f t="shared" si="0"/>
        <v>1.7</v>
      </c>
      <c r="AM61" s="12"/>
      <c r="AN61" s="12"/>
      <c r="AO61" s="12"/>
      <c r="AP61" s="12"/>
      <c r="AQ61" s="55">
        <f t="shared" si="4"/>
        <v>375.7</v>
      </c>
      <c r="AR61" s="38"/>
      <c r="AS61" s="38">
        <v>326</v>
      </c>
      <c r="AT61" s="26"/>
      <c r="AU61" s="49"/>
      <c r="AV61" s="136"/>
      <c r="AW61" s="137"/>
    </row>
    <row r="62" spans="1:49" ht="19.399999999999999" customHeight="1">
      <c r="A62" s="18" t="s">
        <v>134</v>
      </c>
      <c r="B62" s="18" t="s">
        <v>333</v>
      </c>
      <c r="C62" s="19" t="s">
        <v>127</v>
      </c>
      <c r="D62" s="19" t="s">
        <v>127</v>
      </c>
      <c r="E62" s="19" t="s">
        <v>335</v>
      </c>
      <c r="F62" s="58">
        <v>8</v>
      </c>
      <c r="G62" s="43">
        <v>22</v>
      </c>
      <c r="H62" s="44">
        <v>58.4</v>
      </c>
      <c r="I62" s="44" t="s">
        <v>38</v>
      </c>
      <c r="J62" s="43">
        <v>120</v>
      </c>
      <c r="K62" s="44">
        <v>10.4</v>
      </c>
      <c r="L62" s="44" t="s">
        <v>122</v>
      </c>
      <c r="M62" s="43" t="s">
        <v>115</v>
      </c>
      <c r="N62" s="45">
        <v>3</v>
      </c>
      <c r="O62" s="45">
        <v>2</v>
      </c>
      <c r="P62" s="45">
        <v>2</v>
      </c>
      <c r="Q62" s="45">
        <v>1</v>
      </c>
      <c r="R62" s="46">
        <v>4.0999999999999996</v>
      </c>
      <c r="S62" s="46">
        <v>4.2</v>
      </c>
      <c r="T62" s="46">
        <v>247</v>
      </c>
      <c r="U62" s="47">
        <v>3135</v>
      </c>
      <c r="V62" s="23">
        <v>24</v>
      </c>
      <c r="W62" s="38">
        <v>0</v>
      </c>
      <c r="X62" s="38">
        <v>0</v>
      </c>
      <c r="Y62" s="38">
        <v>24</v>
      </c>
      <c r="Z62" s="38">
        <v>0</v>
      </c>
      <c r="AA62" s="44">
        <v>0</v>
      </c>
      <c r="AB62" s="44">
        <v>0</v>
      </c>
      <c r="AC62" s="52" t="s">
        <v>113</v>
      </c>
      <c r="AD62" s="40">
        <v>211</v>
      </c>
      <c r="AE62" s="40"/>
      <c r="AF62" s="41">
        <v>0</v>
      </c>
      <c r="AG62" s="40">
        <v>0</v>
      </c>
      <c r="AH62" s="38">
        <v>0</v>
      </c>
      <c r="AI62" s="38">
        <v>0</v>
      </c>
      <c r="AJ62" s="38">
        <v>1.3</v>
      </c>
      <c r="AK62" s="38">
        <v>0</v>
      </c>
      <c r="AL62" s="24">
        <f t="shared" si="0"/>
        <v>1.3</v>
      </c>
      <c r="AM62" s="12"/>
      <c r="AN62" s="12"/>
      <c r="AO62" s="12"/>
      <c r="AP62" s="12"/>
      <c r="AQ62" s="55">
        <f t="shared" si="4"/>
        <v>374.4</v>
      </c>
      <c r="AR62" s="38"/>
      <c r="AS62" s="38">
        <v>322</v>
      </c>
      <c r="AT62" s="26"/>
      <c r="AU62" s="49"/>
      <c r="AV62" s="136"/>
      <c r="AW62" s="137"/>
    </row>
    <row r="63" spans="1:49" ht="19.399999999999999" customHeight="1">
      <c r="A63" s="18" t="s">
        <v>134</v>
      </c>
      <c r="B63" s="18" t="s">
        <v>333</v>
      </c>
      <c r="C63" s="19" t="s">
        <v>127</v>
      </c>
      <c r="D63" s="19" t="s">
        <v>127</v>
      </c>
      <c r="E63" s="19" t="s">
        <v>336</v>
      </c>
      <c r="F63" s="58">
        <v>8</v>
      </c>
      <c r="G63" s="43">
        <v>22</v>
      </c>
      <c r="H63" s="44">
        <v>58.4</v>
      </c>
      <c r="I63" s="44" t="s">
        <v>38</v>
      </c>
      <c r="J63" s="43">
        <v>120</v>
      </c>
      <c r="K63" s="44">
        <v>10.4</v>
      </c>
      <c r="L63" s="44" t="s">
        <v>122</v>
      </c>
      <c r="M63" s="43" t="s">
        <v>337</v>
      </c>
      <c r="N63" s="45">
        <v>14</v>
      </c>
      <c r="O63" s="45">
        <v>2</v>
      </c>
      <c r="P63" s="45">
        <v>2</v>
      </c>
      <c r="Q63" s="45">
        <v>1</v>
      </c>
      <c r="R63" s="46">
        <v>4.1500000000000004</v>
      </c>
      <c r="S63" s="46">
        <v>4.45</v>
      </c>
      <c r="T63" s="46">
        <v>277</v>
      </c>
      <c r="U63" s="47">
        <v>3129</v>
      </c>
      <c r="V63" s="23">
        <v>24</v>
      </c>
      <c r="W63" s="38">
        <v>0</v>
      </c>
      <c r="X63" s="38">
        <v>0</v>
      </c>
      <c r="Y63" s="38">
        <v>24</v>
      </c>
      <c r="Z63" s="38">
        <v>0</v>
      </c>
      <c r="AA63" s="44">
        <v>0</v>
      </c>
      <c r="AB63" s="44">
        <v>0</v>
      </c>
      <c r="AC63" s="52" t="s">
        <v>113</v>
      </c>
      <c r="AD63" s="40">
        <v>233</v>
      </c>
      <c r="AE63" s="40"/>
      <c r="AF63" s="41">
        <v>0</v>
      </c>
      <c r="AG63" s="40">
        <v>0</v>
      </c>
      <c r="AH63" s="38">
        <v>0</v>
      </c>
      <c r="AI63" s="38">
        <v>0</v>
      </c>
      <c r="AJ63" s="38">
        <v>1.6</v>
      </c>
      <c r="AK63" s="38">
        <v>0</v>
      </c>
      <c r="AL63" s="24">
        <f t="shared" si="0"/>
        <v>1.6</v>
      </c>
      <c r="AM63" s="12"/>
      <c r="AN63" s="12"/>
      <c r="AO63" s="12"/>
      <c r="AP63" s="12"/>
      <c r="AQ63" s="55">
        <f t="shared" si="4"/>
        <v>372.79999999999995</v>
      </c>
      <c r="AR63" s="38"/>
      <c r="AS63" s="38">
        <v>319</v>
      </c>
      <c r="AT63" s="26"/>
      <c r="AU63" s="49"/>
      <c r="AV63" s="136"/>
      <c r="AW63" s="137"/>
    </row>
    <row r="64" spans="1:49" ht="19.399999999999999" customHeight="1">
      <c r="A64" s="18" t="s">
        <v>134</v>
      </c>
      <c r="B64" s="18" t="s">
        <v>340</v>
      </c>
      <c r="C64" s="19" t="s">
        <v>127</v>
      </c>
      <c r="D64" s="19" t="s">
        <v>127</v>
      </c>
      <c r="E64" s="19" t="s">
        <v>341</v>
      </c>
      <c r="F64" s="58">
        <v>8</v>
      </c>
      <c r="G64" s="43">
        <v>22</v>
      </c>
      <c r="H64" s="44">
        <v>58.4</v>
      </c>
      <c r="I64" s="44" t="s">
        <v>38</v>
      </c>
      <c r="J64" s="43">
        <v>120</v>
      </c>
      <c r="K64" s="44">
        <v>10.4</v>
      </c>
      <c r="L64" s="44" t="s">
        <v>122</v>
      </c>
      <c r="M64" s="43" t="s">
        <v>162</v>
      </c>
      <c r="N64" s="45">
        <v>14</v>
      </c>
      <c r="O64" s="45">
        <v>2</v>
      </c>
      <c r="P64" s="45">
        <v>2</v>
      </c>
      <c r="Q64" s="45">
        <v>1</v>
      </c>
      <c r="R64" s="46">
        <v>4.1500000000000004</v>
      </c>
      <c r="S64" s="46">
        <v>4.45</v>
      </c>
      <c r="T64" s="46">
        <v>277</v>
      </c>
      <c r="U64" s="47">
        <v>3129</v>
      </c>
      <c r="V64" s="23">
        <v>24</v>
      </c>
      <c r="W64" s="38">
        <v>0</v>
      </c>
      <c r="X64" s="38">
        <v>0</v>
      </c>
      <c r="Y64" s="38">
        <v>24</v>
      </c>
      <c r="Z64" s="38">
        <v>0</v>
      </c>
      <c r="AA64" s="44">
        <v>0</v>
      </c>
      <c r="AB64" s="44">
        <v>0</v>
      </c>
      <c r="AC64" s="52" t="s">
        <v>132</v>
      </c>
      <c r="AD64" s="40" t="s">
        <v>338</v>
      </c>
      <c r="AE64" s="40"/>
      <c r="AF64" s="41" t="s">
        <v>129</v>
      </c>
      <c r="AG64" s="41" t="s">
        <v>339</v>
      </c>
      <c r="AH64" s="38">
        <v>0</v>
      </c>
      <c r="AI64" s="38">
        <v>0</v>
      </c>
      <c r="AJ64" s="38">
        <v>1.9</v>
      </c>
      <c r="AK64" s="38">
        <v>0</v>
      </c>
      <c r="AL64" s="24">
        <f t="shared" si="0"/>
        <v>1.9</v>
      </c>
      <c r="AM64" s="12"/>
      <c r="AN64" s="12"/>
      <c r="AO64" s="12"/>
      <c r="AP64" s="12"/>
      <c r="AQ64" s="55">
        <f t="shared" si="4"/>
        <v>370.9</v>
      </c>
      <c r="AR64" s="38"/>
      <c r="AS64" s="38">
        <v>315</v>
      </c>
      <c r="AT64" s="26"/>
      <c r="AU64" s="49"/>
      <c r="AV64" s="136"/>
      <c r="AW64" s="137"/>
    </row>
    <row r="65" spans="1:49" ht="19.399999999999999" customHeight="1">
      <c r="A65" s="18" t="s">
        <v>134</v>
      </c>
      <c r="B65" s="18" t="s">
        <v>340</v>
      </c>
      <c r="C65" s="19" t="s">
        <v>127</v>
      </c>
      <c r="D65" s="19" t="s">
        <v>127</v>
      </c>
      <c r="E65" s="19" t="s">
        <v>344</v>
      </c>
      <c r="F65" s="58">
        <v>8</v>
      </c>
      <c r="G65" s="43">
        <v>25</v>
      </c>
      <c r="H65" s="44">
        <v>8.1999999999999993</v>
      </c>
      <c r="I65" s="44" t="s">
        <v>38</v>
      </c>
      <c r="J65" s="43">
        <v>121</v>
      </c>
      <c r="K65" s="44">
        <v>3.6</v>
      </c>
      <c r="L65" s="44" t="s">
        <v>122</v>
      </c>
      <c r="M65" s="43" t="s">
        <v>115</v>
      </c>
      <c r="N65" s="45">
        <v>3</v>
      </c>
      <c r="O65" s="45">
        <v>6</v>
      </c>
      <c r="P65" s="45">
        <v>4</v>
      </c>
      <c r="Q65" s="45">
        <v>2</v>
      </c>
      <c r="R65" s="46">
        <v>4.1500000000000004</v>
      </c>
      <c r="S65" s="46">
        <v>4.45</v>
      </c>
      <c r="T65" s="46">
        <v>277</v>
      </c>
      <c r="U65" s="47">
        <v>3129</v>
      </c>
      <c r="V65" s="23">
        <v>24</v>
      </c>
      <c r="W65" s="38">
        <v>22.6</v>
      </c>
      <c r="X65" s="38">
        <v>0.5</v>
      </c>
      <c r="Y65" s="38">
        <v>0.9</v>
      </c>
      <c r="Z65" s="38">
        <v>0</v>
      </c>
      <c r="AA65" s="44">
        <v>165.8</v>
      </c>
      <c r="AB65" s="44">
        <v>6.9</v>
      </c>
      <c r="AC65" s="52" t="s">
        <v>132</v>
      </c>
      <c r="AD65" s="40" t="s">
        <v>342</v>
      </c>
      <c r="AE65" s="40"/>
      <c r="AF65" s="41" t="s">
        <v>166</v>
      </c>
      <c r="AG65" s="41" t="s">
        <v>343</v>
      </c>
      <c r="AH65" s="38">
        <v>5.5</v>
      </c>
      <c r="AI65" s="38">
        <v>0.1</v>
      </c>
      <c r="AJ65" s="38">
        <v>0.1</v>
      </c>
      <c r="AK65" s="56">
        <v>0</v>
      </c>
      <c r="AL65" s="24">
        <f t="shared" si="0"/>
        <v>5.6999999999999993</v>
      </c>
      <c r="AM65" s="12"/>
      <c r="AN65" s="12"/>
      <c r="AO65" s="12"/>
      <c r="AP65" s="12"/>
      <c r="AQ65" s="55">
        <f t="shared" si="4"/>
        <v>365.2</v>
      </c>
      <c r="AR65" s="38"/>
      <c r="AS65" s="38">
        <v>310</v>
      </c>
      <c r="AT65" s="26"/>
      <c r="AU65" s="49"/>
      <c r="AV65" s="136"/>
      <c r="AW65" s="137"/>
    </row>
    <row r="66" spans="1:49" ht="19.399999999999999" customHeight="1">
      <c r="A66" s="18" t="s">
        <v>134</v>
      </c>
      <c r="B66" s="18" t="s">
        <v>340</v>
      </c>
      <c r="C66" s="19" t="s">
        <v>127</v>
      </c>
      <c r="D66" s="19" t="s">
        <v>127</v>
      </c>
      <c r="E66" s="19" t="s">
        <v>348</v>
      </c>
      <c r="F66" s="58">
        <v>8</v>
      </c>
      <c r="G66" s="43">
        <v>25</v>
      </c>
      <c r="H66" s="44">
        <v>8.1999999999999993</v>
      </c>
      <c r="I66" s="44" t="s">
        <v>38</v>
      </c>
      <c r="J66" s="43">
        <v>122</v>
      </c>
      <c r="K66" s="44">
        <v>35.9</v>
      </c>
      <c r="L66" s="44" t="s">
        <v>122</v>
      </c>
      <c r="M66" s="43" t="s">
        <v>115</v>
      </c>
      <c r="N66" s="45">
        <v>4</v>
      </c>
      <c r="O66" s="45">
        <v>4</v>
      </c>
      <c r="P66" s="45">
        <v>3</v>
      </c>
      <c r="Q66" s="45">
        <v>2</v>
      </c>
      <c r="R66" s="46">
        <v>4.1500000000000004</v>
      </c>
      <c r="S66" s="46">
        <v>4.45</v>
      </c>
      <c r="T66" s="46">
        <v>277</v>
      </c>
      <c r="U66" s="47">
        <v>3129</v>
      </c>
      <c r="V66" s="23">
        <v>24</v>
      </c>
      <c r="W66" s="38">
        <v>10.1</v>
      </c>
      <c r="X66" s="38">
        <v>13.9</v>
      </c>
      <c r="Y66" s="38">
        <v>0</v>
      </c>
      <c r="Z66" s="38">
        <v>0</v>
      </c>
      <c r="AA66" s="44">
        <v>127.7</v>
      </c>
      <c r="AB66" s="44">
        <v>5.3</v>
      </c>
      <c r="AC66" s="52" t="s">
        <v>132</v>
      </c>
      <c r="AD66" s="40" t="s">
        <v>345</v>
      </c>
      <c r="AE66" s="40"/>
      <c r="AF66" s="41" t="s">
        <v>346</v>
      </c>
      <c r="AG66" s="41" t="s">
        <v>347</v>
      </c>
      <c r="AH66" s="38">
        <v>3.4</v>
      </c>
      <c r="AI66" s="38">
        <v>2</v>
      </c>
      <c r="AJ66" s="38">
        <v>0</v>
      </c>
      <c r="AK66" s="56">
        <v>0</v>
      </c>
      <c r="AL66" s="24">
        <f t="shared" si="0"/>
        <v>5.4</v>
      </c>
      <c r="AM66" s="12"/>
      <c r="AN66" s="12"/>
      <c r="AO66" s="12"/>
      <c r="AP66" s="12"/>
      <c r="AQ66" s="55">
        <f t="shared" si="4"/>
        <v>359.8</v>
      </c>
      <c r="AR66" s="38"/>
      <c r="AS66" s="38">
        <v>302</v>
      </c>
      <c r="AT66" s="26"/>
      <c r="AU66" s="49"/>
      <c r="AV66" s="136"/>
      <c r="AW66" s="137"/>
    </row>
    <row r="67" spans="1:49" ht="19.399999999999999" customHeight="1">
      <c r="A67" s="18" t="s">
        <v>134</v>
      </c>
      <c r="B67" s="18" t="s">
        <v>340</v>
      </c>
      <c r="C67" s="19" t="s">
        <v>127</v>
      </c>
      <c r="D67" s="19" t="s">
        <v>127</v>
      </c>
      <c r="E67" s="19" t="s">
        <v>351</v>
      </c>
      <c r="F67" s="58">
        <v>8</v>
      </c>
      <c r="G67" s="43">
        <v>25</v>
      </c>
      <c r="H67" s="44">
        <v>4.2</v>
      </c>
      <c r="I67" s="44" t="s">
        <v>38</v>
      </c>
      <c r="J67" s="43">
        <v>122</v>
      </c>
      <c r="K67" s="44">
        <v>34.6</v>
      </c>
      <c r="L67" s="44" t="s">
        <v>122</v>
      </c>
      <c r="M67" s="43" t="s">
        <v>352</v>
      </c>
      <c r="N67" s="45">
        <v>4</v>
      </c>
      <c r="O67" s="45">
        <v>4</v>
      </c>
      <c r="P67" s="45">
        <v>3</v>
      </c>
      <c r="Q67" s="45">
        <v>2</v>
      </c>
      <c r="R67" s="46">
        <v>4.1500000000000004</v>
      </c>
      <c r="S67" s="46">
        <v>4.45</v>
      </c>
      <c r="T67" s="46">
        <v>277</v>
      </c>
      <c r="U67" s="47">
        <v>3129</v>
      </c>
      <c r="V67" s="23">
        <v>24</v>
      </c>
      <c r="W67" s="38">
        <v>0</v>
      </c>
      <c r="X67" s="38">
        <v>24</v>
      </c>
      <c r="Y67" s="38">
        <v>0</v>
      </c>
      <c r="Z67" s="38">
        <v>0</v>
      </c>
      <c r="AA67" s="44">
        <v>73.5</v>
      </c>
      <c r="AB67" s="44">
        <v>3</v>
      </c>
      <c r="AC67" s="52" t="s">
        <v>132</v>
      </c>
      <c r="AD67" s="40" t="s">
        <v>349</v>
      </c>
      <c r="AE67" s="40"/>
      <c r="AF67" s="41" t="s">
        <v>350</v>
      </c>
      <c r="AG67" s="41" t="s">
        <v>193</v>
      </c>
      <c r="AH67" s="38">
        <v>0</v>
      </c>
      <c r="AI67" s="38">
        <v>4.7</v>
      </c>
      <c r="AJ67" s="38">
        <v>0</v>
      </c>
      <c r="AK67" s="56">
        <v>0</v>
      </c>
      <c r="AL67" s="24">
        <f t="shared" si="0"/>
        <v>4.7</v>
      </c>
      <c r="AM67" s="12"/>
      <c r="AN67" s="12"/>
      <c r="AO67" s="12"/>
      <c r="AP67" s="12"/>
      <c r="AQ67" s="55">
        <f t="shared" si="4"/>
        <v>355.1</v>
      </c>
      <c r="AR67" s="38"/>
      <c r="AS67" s="38">
        <v>291</v>
      </c>
      <c r="AT67" s="26"/>
      <c r="AU67" s="49"/>
      <c r="AV67" s="136"/>
      <c r="AW67" s="137"/>
    </row>
    <row r="68" spans="1:49" ht="19.399999999999999" customHeight="1">
      <c r="A68" s="18" t="s">
        <v>134</v>
      </c>
      <c r="B68" s="18" t="s">
        <v>340</v>
      </c>
      <c r="C68" s="19" t="s">
        <v>127</v>
      </c>
      <c r="D68" s="19" t="s">
        <v>127</v>
      </c>
      <c r="E68" s="19" t="s">
        <v>356</v>
      </c>
      <c r="F68" s="58">
        <v>8</v>
      </c>
      <c r="G68" s="43">
        <v>25</v>
      </c>
      <c r="H68" s="44">
        <v>0.3</v>
      </c>
      <c r="I68" s="44" t="s">
        <v>38</v>
      </c>
      <c r="J68" s="43">
        <v>122</v>
      </c>
      <c r="K68" s="44">
        <v>28.2</v>
      </c>
      <c r="L68" s="44" t="s">
        <v>122</v>
      </c>
      <c r="M68" s="43" t="s">
        <v>115</v>
      </c>
      <c r="N68" s="45">
        <v>3</v>
      </c>
      <c r="O68" s="45">
        <v>3</v>
      </c>
      <c r="P68" s="45">
        <v>2</v>
      </c>
      <c r="Q68" s="45">
        <v>1</v>
      </c>
      <c r="R68" s="46">
        <v>4.1500000000000004</v>
      </c>
      <c r="S68" s="46">
        <v>4.45</v>
      </c>
      <c r="T68" s="46">
        <v>277</v>
      </c>
      <c r="U68" s="47">
        <v>3129</v>
      </c>
      <c r="V68" s="23">
        <v>24</v>
      </c>
      <c r="W68" s="38">
        <v>0</v>
      </c>
      <c r="X68" s="38">
        <v>24</v>
      </c>
      <c r="Y68" s="38">
        <v>0</v>
      </c>
      <c r="Z68" s="38">
        <v>0</v>
      </c>
      <c r="AA68" s="44">
        <v>68.400000000000006</v>
      </c>
      <c r="AB68" s="44">
        <v>2.9</v>
      </c>
      <c r="AC68" s="52" t="s">
        <v>132</v>
      </c>
      <c r="AD68" s="40" t="s">
        <v>353</v>
      </c>
      <c r="AE68" s="40"/>
      <c r="AF68" s="41" t="s">
        <v>354</v>
      </c>
      <c r="AG68" s="41" t="s">
        <v>355</v>
      </c>
      <c r="AH68" s="38">
        <v>0</v>
      </c>
      <c r="AI68" s="38">
        <v>4.7</v>
      </c>
      <c r="AJ68" s="38">
        <v>0</v>
      </c>
      <c r="AK68" s="56">
        <v>0</v>
      </c>
      <c r="AL68" s="24">
        <f t="shared" si="0"/>
        <v>4.7</v>
      </c>
      <c r="AM68" s="12"/>
      <c r="AN68" s="12"/>
      <c r="AO68" s="12"/>
      <c r="AP68" s="12"/>
      <c r="AQ68" s="55">
        <f t="shared" si="4"/>
        <v>350.40000000000003</v>
      </c>
      <c r="AR68" s="38"/>
      <c r="AS68" s="38">
        <v>281</v>
      </c>
      <c r="AT68" s="26"/>
      <c r="AU68" s="49"/>
      <c r="AV68" s="136"/>
      <c r="AW68" s="137"/>
    </row>
    <row r="69" spans="1:49" ht="19.399999999999999" customHeight="1">
      <c r="A69" s="18" t="s">
        <v>134</v>
      </c>
      <c r="B69" s="18" t="s">
        <v>340</v>
      </c>
      <c r="C69" s="19" t="s">
        <v>127</v>
      </c>
      <c r="D69" s="19" t="s">
        <v>127</v>
      </c>
      <c r="E69" s="19" t="s">
        <v>359</v>
      </c>
      <c r="F69" s="58">
        <v>8</v>
      </c>
      <c r="G69" s="43">
        <v>24</v>
      </c>
      <c r="H69" s="44">
        <v>59.6</v>
      </c>
      <c r="I69" s="44" t="s">
        <v>38</v>
      </c>
      <c r="J69" s="43">
        <v>122</v>
      </c>
      <c r="K69" s="44">
        <v>27.6</v>
      </c>
      <c r="L69" s="44" t="s">
        <v>122</v>
      </c>
      <c r="M69" s="43" t="s">
        <v>115</v>
      </c>
      <c r="N69" s="45">
        <v>3</v>
      </c>
      <c r="O69" s="45">
        <v>3</v>
      </c>
      <c r="P69" s="45">
        <v>2</v>
      </c>
      <c r="Q69" s="45">
        <v>1</v>
      </c>
      <c r="R69" s="46">
        <v>4.1500000000000004</v>
      </c>
      <c r="S69" s="46">
        <v>4.45</v>
      </c>
      <c r="T69" s="46">
        <v>277</v>
      </c>
      <c r="U69" s="47">
        <v>3129</v>
      </c>
      <c r="V69" s="23">
        <v>24</v>
      </c>
      <c r="W69" s="38">
        <v>0</v>
      </c>
      <c r="X69" s="38">
        <v>24</v>
      </c>
      <c r="Y69" s="38">
        <v>0</v>
      </c>
      <c r="Z69" s="38">
        <v>0</v>
      </c>
      <c r="AA69" s="44">
        <v>74.3</v>
      </c>
      <c r="AB69" s="44">
        <v>3.1</v>
      </c>
      <c r="AC69" s="52" t="s">
        <v>132</v>
      </c>
      <c r="AD69" s="40" t="s">
        <v>357</v>
      </c>
      <c r="AE69" s="40"/>
      <c r="AF69" s="41" t="s">
        <v>358</v>
      </c>
      <c r="AG69" s="41" t="s">
        <v>210</v>
      </c>
      <c r="AH69" s="38">
        <v>0</v>
      </c>
      <c r="AI69" s="38">
        <v>5</v>
      </c>
      <c r="AJ69" s="38">
        <v>0</v>
      </c>
      <c r="AK69" s="56">
        <v>0</v>
      </c>
      <c r="AL69" s="24">
        <f t="shared" si="0"/>
        <v>5</v>
      </c>
      <c r="AM69" s="12"/>
      <c r="AN69" s="12"/>
      <c r="AO69" s="12"/>
      <c r="AP69" s="12"/>
      <c r="AQ69" s="55">
        <f t="shared" si="4"/>
        <v>345.40000000000003</v>
      </c>
      <c r="AR69" s="38"/>
      <c r="AS69" s="38">
        <v>273</v>
      </c>
      <c r="AT69" s="26"/>
      <c r="AU69" s="49"/>
      <c r="AV69" s="136"/>
      <c r="AW69" s="137"/>
    </row>
    <row r="70" spans="1:49" ht="19.399999999999999" customHeight="1">
      <c r="A70" s="18" t="s">
        <v>134</v>
      </c>
      <c r="B70" s="18" t="s">
        <v>340</v>
      </c>
      <c r="C70" s="19" t="s">
        <v>127</v>
      </c>
      <c r="D70" s="19" t="s">
        <v>127</v>
      </c>
      <c r="E70" s="19" t="s">
        <v>362</v>
      </c>
      <c r="F70" s="58">
        <v>8</v>
      </c>
      <c r="G70" s="43">
        <v>25</v>
      </c>
      <c r="H70" s="44">
        <v>5.2</v>
      </c>
      <c r="I70" s="44" t="s">
        <v>38</v>
      </c>
      <c r="J70" s="43">
        <v>122</v>
      </c>
      <c r="K70" s="44">
        <v>24.1</v>
      </c>
      <c r="L70" s="44" t="s">
        <v>122</v>
      </c>
      <c r="M70" s="43" t="s">
        <v>115</v>
      </c>
      <c r="N70" s="45">
        <v>3</v>
      </c>
      <c r="O70" s="45">
        <v>3</v>
      </c>
      <c r="P70" s="45">
        <v>2</v>
      </c>
      <c r="Q70" s="45">
        <v>1</v>
      </c>
      <c r="R70" s="46">
        <v>4.1500000000000004</v>
      </c>
      <c r="S70" s="46">
        <v>4.45</v>
      </c>
      <c r="T70" s="46">
        <v>277</v>
      </c>
      <c r="U70" s="47">
        <v>3129</v>
      </c>
      <c r="V70" s="23">
        <v>24</v>
      </c>
      <c r="W70" s="38">
        <v>0</v>
      </c>
      <c r="X70" s="38">
        <v>24</v>
      </c>
      <c r="Y70" s="38">
        <v>0</v>
      </c>
      <c r="Z70" s="38">
        <v>0</v>
      </c>
      <c r="AA70" s="44">
        <v>71.599999999999994</v>
      </c>
      <c r="AB70" s="44">
        <v>3</v>
      </c>
      <c r="AC70" s="52" t="s">
        <v>132</v>
      </c>
      <c r="AD70" s="40" t="s">
        <v>360</v>
      </c>
      <c r="AE70" s="40"/>
      <c r="AF70" s="41" t="s">
        <v>164</v>
      </c>
      <c r="AG70" s="41" t="s">
        <v>361</v>
      </c>
      <c r="AH70" s="38">
        <v>0</v>
      </c>
      <c r="AI70" s="38">
        <v>4.2</v>
      </c>
      <c r="AJ70" s="38">
        <v>0</v>
      </c>
      <c r="AK70" s="56">
        <v>0</v>
      </c>
      <c r="AL70" s="24">
        <f t="shared" si="0"/>
        <v>4.2</v>
      </c>
      <c r="AM70" s="12"/>
      <c r="AN70" s="12"/>
      <c r="AO70" s="12"/>
      <c r="AP70" s="12"/>
      <c r="AQ70" s="55">
        <f t="shared" si="4"/>
        <v>341.20000000000005</v>
      </c>
      <c r="AR70" s="38"/>
      <c r="AS70" s="38">
        <v>263</v>
      </c>
      <c r="AT70" s="26"/>
      <c r="AU70" s="49"/>
      <c r="AV70" s="136"/>
      <c r="AW70" s="137"/>
    </row>
    <row r="71" spans="1:49" ht="19.399999999999999" customHeight="1">
      <c r="A71" s="18" t="s">
        <v>134</v>
      </c>
      <c r="B71" s="18" t="s">
        <v>340</v>
      </c>
      <c r="C71" s="19" t="s">
        <v>127</v>
      </c>
      <c r="D71" s="19" t="s">
        <v>127</v>
      </c>
      <c r="E71" s="19" t="s">
        <v>365</v>
      </c>
      <c r="F71" s="58">
        <v>8</v>
      </c>
      <c r="G71" s="43">
        <v>25</v>
      </c>
      <c r="H71" s="44">
        <v>8.6</v>
      </c>
      <c r="I71" s="44" t="s">
        <v>38</v>
      </c>
      <c r="J71" s="43">
        <v>122</v>
      </c>
      <c r="K71" s="44">
        <v>41.4</v>
      </c>
      <c r="L71" s="44" t="s">
        <v>122</v>
      </c>
      <c r="M71" s="43" t="s">
        <v>115</v>
      </c>
      <c r="N71" s="45">
        <v>3</v>
      </c>
      <c r="O71" s="45">
        <v>3</v>
      </c>
      <c r="P71" s="45">
        <v>2</v>
      </c>
      <c r="Q71" s="45">
        <v>1</v>
      </c>
      <c r="R71" s="46">
        <v>4.1500000000000004</v>
      </c>
      <c r="S71" s="46">
        <v>4.45</v>
      </c>
      <c r="T71" s="46">
        <v>277</v>
      </c>
      <c r="U71" s="47">
        <v>3129</v>
      </c>
      <c r="V71" s="23">
        <v>24</v>
      </c>
      <c r="W71" s="38">
        <v>0</v>
      </c>
      <c r="X71" s="38">
        <v>24</v>
      </c>
      <c r="Y71" s="38">
        <v>0</v>
      </c>
      <c r="Z71" s="38">
        <v>0</v>
      </c>
      <c r="AA71" s="44">
        <v>120.9</v>
      </c>
      <c r="AB71" s="44">
        <v>5</v>
      </c>
      <c r="AC71" s="52" t="s">
        <v>132</v>
      </c>
      <c r="AD71" s="40" t="s">
        <v>363</v>
      </c>
      <c r="AE71" s="40"/>
      <c r="AF71" s="41" t="s">
        <v>165</v>
      </c>
      <c r="AG71" s="41" t="s">
        <v>364</v>
      </c>
      <c r="AH71" s="38">
        <v>0</v>
      </c>
      <c r="AI71" s="38">
        <v>4.5999999999999996</v>
      </c>
      <c r="AJ71" s="38">
        <v>0</v>
      </c>
      <c r="AK71" s="56">
        <v>0</v>
      </c>
      <c r="AL71" s="24">
        <f t="shared" si="0"/>
        <v>4.5999999999999996</v>
      </c>
      <c r="AM71" s="12"/>
      <c r="AN71" s="12"/>
      <c r="AO71" s="12"/>
      <c r="AP71" s="12"/>
      <c r="AQ71" s="55">
        <f t="shared" si="4"/>
        <v>336.6</v>
      </c>
      <c r="AR71" s="38"/>
      <c r="AS71" s="38">
        <v>257</v>
      </c>
      <c r="AT71" s="26"/>
      <c r="AU71" s="49"/>
      <c r="AV71" s="136"/>
      <c r="AW71" s="137"/>
    </row>
    <row r="72" spans="1:49" ht="19.399999999999999" customHeight="1">
      <c r="A72" s="18" t="s">
        <v>134</v>
      </c>
      <c r="B72" s="18" t="s">
        <v>340</v>
      </c>
      <c r="C72" s="19" t="s">
        <v>368</v>
      </c>
      <c r="D72" s="19" t="s">
        <v>127</v>
      </c>
      <c r="E72" s="19" t="s">
        <v>369</v>
      </c>
      <c r="F72" s="58">
        <v>8</v>
      </c>
      <c r="G72" s="43">
        <v>25</v>
      </c>
      <c r="H72" s="44">
        <v>8.1999999999999993</v>
      </c>
      <c r="I72" s="44" t="s">
        <v>38</v>
      </c>
      <c r="J72" s="43">
        <v>121</v>
      </c>
      <c r="K72" s="44">
        <v>44.9</v>
      </c>
      <c r="L72" s="44" t="s">
        <v>122</v>
      </c>
      <c r="M72" s="43" t="s">
        <v>115</v>
      </c>
      <c r="N72" s="45">
        <v>2</v>
      </c>
      <c r="O72" s="45">
        <v>3</v>
      </c>
      <c r="P72" s="45">
        <v>2</v>
      </c>
      <c r="Q72" s="45">
        <v>1</v>
      </c>
      <c r="R72" s="46">
        <v>4.1500000000000004</v>
      </c>
      <c r="S72" s="46">
        <v>4.45</v>
      </c>
      <c r="T72" s="46">
        <v>277</v>
      </c>
      <c r="U72" s="47">
        <v>3129</v>
      </c>
      <c r="V72" s="23">
        <v>24</v>
      </c>
      <c r="W72" s="38">
        <v>6</v>
      </c>
      <c r="X72" s="38">
        <v>17.8</v>
      </c>
      <c r="Y72" s="38">
        <v>0.2</v>
      </c>
      <c r="Z72" s="38">
        <v>0</v>
      </c>
      <c r="AA72" s="44">
        <v>129.80000000000001</v>
      </c>
      <c r="AB72" s="44">
        <v>5.4</v>
      </c>
      <c r="AC72" s="52" t="s">
        <v>132</v>
      </c>
      <c r="AD72" s="40" t="s">
        <v>366</v>
      </c>
      <c r="AE72" s="40"/>
      <c r="AF72" s="41" t="s">
        <v>165</v>
      </c>
      <c r="AG72" s="41" t="s">
        <v>367</v>
      </c>
      <c r="AH72" s="38">
        <v>2.6</v>
      </c>
      <c r="AI72" s="38">
        <v>2.5</v>
      </c>
      <c r="AJ72" s="38">
        <v>0</v>
      </c>
      <c r="AK72" s="56">
        <v>0</v>
      </c>
      <c r="AL72" s="24">
        <f t="shared" si="0"/>
        <v>5.0999999999999996</v>
      </c>
      <c r="AM72" s="12"/>
      <c r="AN72" s="12"/>
      <c r="AO72" s="12"/>
      <c r="AP72" s="12"/>
      <c r="AQ72" s="55">
        <f t="shared" si="4"/>
        <v>331.5</v>
      </c>
      <c r="AR72" s="38"/>
      <c r="AS72" s="38">
        <v>247</v>
      </c>
      <c r="AT72" s="26"/>
      <c r="AU72" s="49"/>
      <c r="AV72" s="136"/>
      <c r="AW72" s="137"/>
    </row>
    <row r="73" spans="1:49" ht="19.399999999999999" customHeight="1">
      <c r="A73" s="18" t="s">
        <v>134</v>
      </c>
      <c r="B73" s="18" t="s">
        <v>340</v>
      </c>
      <c r="C73" s="19" t="s">
        <v>368</v>
      </c>
      <c r="D73" s="19" t="s">
        <v>127</v>
      </c>
      <c r="E73" s="19" t="s">
        <v>371</v>
      </c>
      <c r="F73" s="58">
        <v>8</v>
      </c>
      <c r="G73" s="43">
        <v>24</v>
      </c>
      <c r="H73" s="44">
        <v>35.4</v>
      </c>
      <c r="I73" s="44" t="s">
        <v>38</v>
      </c>
      <c r="J73" s="43">
        <v>120</v>
      </c>
      <c r="K73" s="44">
        <v>30.7</v>
      </c>
      <c r="L73" s="44" t="s">
        <v>122</v>
      </c>
      <c r="M73" s="43" t="s">
        <v>115</v>
      </c>
      <c r="N73" s="45">
        <v>2</v>
      </c>
      <c r="O73" s="45">
        <v>3</v>
      </c>
      <c r="P73" s="45">
        <v>2</v>
      </c>
      <c r="Q73" s="45">
        <v>1</v>
      </c>
      <c r="R73" s="46">
        <v>4.1500000000000004</v>
      </c>
      <c r="S73" s="46">
        <v>4.45</v>
      </c>
      <c r="T73" s="46">
        <v>277</v>
      </c>
      <c r="U73" s="47">
        <v>3129</v>
      </c>
      <c r="V73" s="23">
        <v>24</v>
      </c>
      <c r="W73" s="38">
        <v>14.6</v>
      </c>
      <c r="X73" s="38">
        <v>6.4</v>
      </c>
      <c r="Y73" s="38">
        <v>3</v>
      </c>
      <c r="Z73" s="38">
        <v>0</v>
      </c>
      <c r="AA73" s="44">
        <v>115.7</v>
      </c>
      <c r="AB73" s="44">
        <v>4.8</v>
      </c>
      <c r="AC73" s="52" t="s">
        <v>131</v>
      </c>
      <c r="AD73" s="40" t="s">
        <v>370</v>
      </c>
      <c r="AE73" s="40"/>
      <c r="AF73" s="41" t="s">
        <v>135</v>
      </c>
      <c r="AG73" s="41" t="s">
        <v>299</v>
      </c>
      <c r="AH73" s="38">
        <v>2.2000000000000002</v>
      </c>
      <c r="AI73" s="38">
        <v>1.5</v>
      </c>
      <c r="AJ73" s="38">
        <v>0.2</v>
      </c>
      <c r="AK73" s="56">
        <v>0</v>
      </c>
      <c r="AL73" s="24">
        <f t="shared" si="0"/>
        <v>3.9000000000000004</v>
      </c>
      <c r="AM73" s="12"/>
      <c r="AN73" s="12"/>
      <c r="AO73" s="12"/>
      <c r="AP73" s="12"/>
      <c r="AQ73" s="55">
        <f t="shared" si="4"/>
        <v>327.60000000000002</v>
      </c>
      <c r="AR73" s="38"/>
      <c r="AS73" s="38">
        <v>244</v>
      </c>
      <c r="AT73" s="26"/>
      <c r="AU73" s="49"/>
      <c r="AV73" s="136"/>
      <c r="AW73" s="137"/>
    </row>
    <row r="74" spans="1:49" ht="19.399999999999999" customHeight="1">
      <c r="A74" s="18" t="s">
        <v>134</v>
      </c>
      <c r="B74" s="18" t="s">
        <v>340</v>
      </c>
      <c r="C74" s="19" t="s">
        <v>368</v>
      </c>
      <c r="D74" s="19" t="s">
        <v>127</v>
      </c>
      <c r="E74" s="19" t="s">
        <v>372</v>
      </c>
      <c r="F74" s="58">
        <v>8</v>
      </c>
      <c r="G74" s="43">
        <v>24</v>
      </c>
      <c r="H74" s="44">
        <v>58.4</v>
      </c>
      <c r="I74" s="44" t="s">
        <v>38</v>
      </c>
      <c r="J74" s="43">
        <v>120</v>
      </c>
      <c r="K74" s="44">
        <v>10.4</v>
      </c>
      <c r="L74" s="44" t="s">
        <v>122</v>
      </c>
      <c r="M74" s="43" t="s">
        <v>115</v>
      </c>
      <c r="N74" s="45">
        <v>10</v>
      </c>
      <c r="O74" s="45">
        <v>2</v>
      </c>
      <c r="P74" s="45">
        <v>2</v>
      </c>
      <c r="Q74" s="45">
        <v>1</v>
      </c>
      <c r="R74" s="46">
        <v>4.1500000000000004</v>
      </c>
      <c r="S74" s="46">
        <v>4.45</v>
      </c>
      <c r="T74" s="46">
        <v>277</v>
      </c>
      <c r="U74" s="47">
        <v>3129</v>
      </c>
      <c r="V74" s="23">
        <v>24</v>
      </c>
      <c r="W74" s="38">
        <v>16.5</v>
      </c>
      <c r="X74" s="38">
        <v>1.5</v>
      </c>
      <c r="Y74" s="38">
        <v>5</v>
      </c>
      <c r="Z74" s="38">
        <v>0</v>
      </c>
      <c r="AA74" s="44">
        <v>119.6</v>
      </c>
      <c r="AB74" s="44">
        <v>5</v>
      </c>
      <c r="AC74" s="52" t="s">
        <v>119</v>
      </c>
      <c r="AD74" s="40">
        <v>215</v>
      </c>
      <c r="AE74" s="40"/>
      <c r="AF74" s="41">
        <v>0</v>
      </c>
      <c r="AG74" s="41">
        <v>0</v>
      </c>
      <c r="AH74" s="38">
        <v>3.8</v>
      </c>
      <c r="AI74" s="38">
        <v>0.4</v>
      </c>
      <c r="AJ74" s="38">
        <v>0.2</v>
      </c>
      <c r="AK74" s="56">
        <v>0</v>
      </c>
      <c r="AL74" s="24">
        <f t="shared" si="0"/>
        <v>4.4000000000000004</v>
      </c>
      <c r="AM74" s="12"/>
      <c r="AN74" s="12"/>
      <c r="AO74" s="12"/>
      <c r="AP74" s="12"/>
      <c r="AQ74" s="55">
        <f t="shared" si="4"/>
        <v>323.20000000000005</v>
      </c>
      <c r="AR74" s="38"/>
      <c r="AS74" s="38">
        <v>236</v>
      </c>
      <c r="AT74" s="26"/>
      <c r="AU74" s="49"/>
      <c r="AV74" s="136"/>
      <c r="AW74" s="137"/>
    </row>
    <row r="75" spans="1:49" ht="19.399999999999999" customHeight="1">
      <c r="A75" s="18" t="s">
        <v>134</v>
      </c>
      <c r="B75" s="18" t="s">
        <v>340</v>
      </c>
      <c r="C75" s="19" t="s">
        <v>368</v>
      </c>
      <c r="D75" s="19" t="s">
        <v>127</v>
      </c>
      <c r="E75" s="19" t="s">
        <v>373</v>
      </c>
      <c r="F75" s="58">
        <v>8</v>
      </c>
      <c r="G75" s="43">
        <v>22</v>
      </c>
      <c r="H75" s="44">
        <v>58.4</v>
      </c>
      <c r="I75" s="44" t="s">
        <v>38</v>
      </c>
      <c r="J75" s="43">
        <v>120</v>
      </c>
      <c r="K75" s="44">
        <v>10.4</v>
      </c>
      <c r="L75" s="44" t="s">
        <v>122</v>
      </c>
      <c r="M75" s="43" t="s">
        <v>115</v>
      </c>
      <c r="N75" s="45">
        <v>10</v>
      </c>
      <c r="O75" s="45">
        <v>2</v>
      </c>
      <c r="P75" s="45">
        <v>2</v>
      </c>
      <c r="Q75" s="45">
        <v>1</v>
      </c>
      <c r="R75" s="46">
        <v>4.1500000000000004</v>
      </c>
      <c r="S75" s="46">
        <v>4.45</v>
      </c>
      <c r="T75" s="46">
        <v>277</v>
      </c>
      <c r="U75" s="47">
        <v>3129</v>
      </c>
      <c r="V75" s="23">
        <v>24</v>
      </c>
      <c r="W75" s="38">
        <v>0</v>
      </c>
      <c r="X75" s="38">
        <v>0</v>
      </c>
      <c r="Y75" s="38">
        <v>24</v>
      </c>
      <c r="Z75" s="38">
        <v>0</v>
      </c>
      <c r="AA75" s="44">
        <v>0</v>
      </c>
      <c r="AB75" s="44">
        <v>0</v>
      </c>
      <c r="AC75" s="52" t="s">
        <v>119</v>
      </c>
      <c r="AD75" s="40">
        <v>214</v>
      </c>
      <c r="AE75" s="40"/>
      <c r="AF75" s="41">
        <v>0</v>
      </c>
      <c r="AG75" s="41">
        <v>0</v>
      </c>
      <c r="AH75" s="38">
        <v>0</v>
      </c>
      <c r="AI75" s="38">
        <v>0</v>
      </c>
      <c r="AJ75" s="38">
        <v>1.5</v>
      </c>
      <c r="AK75" s="56">
        <v>0</v>
      </c>
      <c r="AL75" s="24">
        <f t="shared" si="0"/>
        <v>1.5</v>
      </c>
      <c r="AM75" s="12"/>
      <c r="AN75" s="12"/>
      <c r="AO75" s="12"/>
      <c r="AP75" s="12"/>
      <c r="AQ75" s="55">
        <f t="shared" si="4"/>
        <v>321.70000000000005</v>
      </c>
      <c r="AR75" s="38"/>
      <c r="AS75" s="38">
        <v>230</v>
      </c>
      <c r="AT75" s="26"/>
      <c r="AU75" s="49"/>
      <c r="AV75" s="136"/>
      <c r="AW75" s="137"/>
    </row>
    <row r="76" spans="1:49" ht="19.399999999999999" customHeight="1">
      <c r="A76" s="18" t="s">
        <v>134</v>
      </c>
      <c r="B76" s="18" t="s">
        <v>340</v>
      </c>
      <c r="C76" s="19" t="s">
        <v>368</v>
      </c>
      <c r="D76" s="19" t="s">
        <v>127</v>
      </c>
      <c r="E76" s="19" t="s">
        <v>374</v>
      </c>
      <c r="F76" s="58">
        <v>8</v>
      </c>
      <c r="G76" s="43">
        <v>22</v>
      </c>
      <c r="H76" s="44">
        <v>58.4</v>
      </c>
      <c r="I76" s="44" t="s">
        <v>38</v>
      </c>
      <c r="J76" s="43">
        <v>120</v>
      </c>
      <c r="K76" s="44">
        <v>10.4</v>
      </c>
      <c r="L76" s="44" t="s">
        <v>122</v>
      </c>
      <c r="M76" s="43" t="s">
        <v>115</v>
      </c>
      <c r="N76" s="45">
        <v>10</v>
      </c>
      <c r="O76" s="45">
        <v>1</v>
      </c>
      <c r="P76" s="45">
        <v>1</v>
      </c>
      <c r="Q76" s="45">
        <v>0</v>
      </c>
      <c r="R76" s="46">
        <v>4.1500000000000004</v>
      </c>
      <c r="S76" s="46">
        <v>4.45</v>
      </c>
      <c r="T76" s="46">
        <v>277</v>
      </c>
      <c r="U76" s="47">
        <v>3129</v>
      </c>
      <c r="V76" s="23">
        <v>24</v>
      </c>
      <c r="W76" s="38">
        <v>0</v>
      </c>
      <c r="X76" s="38">
        <v>0</v>
      </c>
      <c r="Y76" s="38">
        <v>24</v>
      </c>
      <c r="Z76" s="38">
        <v>0</v>
      </c>
      <c r="AA76" s="44">
        <v>0</v>
      </c>
      <c r="AB76" s="44">
        <v>0</v>
      </c>
      <c r="AC76" s="52" t="s">
        <v>119</v>
      </c>
      <c r="AD76" s="40">
        <v>219</v>
      </c>
      <c r="AE76" s="40"/>
      <c r="AF76" s="41">
        <v>0</v>
      </c>
      <c r="AG76" s="41">
        <v>0</v>
      </c>
      <c r="AH76" s="38">
        <v>0</v>
      </c>
      <c r="AI76" s="38">
        <v>0</v>
      </c>
      <c r="AJ76" s="38">
        <v>1.5</v>
      </c>
      <c r="AK76" s="56">
        <v>0</v>
      </c>
      <c r="AL76" s="24">
        <f t="shared" si="0"/>
        <v>1.5</v>
      </c>
      <c r="AM76" s="12"/>
      <c r="AN76" s="12"/>
      <c r="AO76" s="12"/>
      <c r="AP76" s="12"/>
      <c r="AQ76" s="55">
        <f t="shared" si="4"/>
        <v>320.20000000000005</v>
      </c>
      <c r="AR76" s="38"/>
      <c r="AS76" s="38">
        <v>225</v>
      </c>
      <c r="AT76" s="26"/>
      <c r="AU76" s="49"/>
      <c r="AV76" s="136" t="s">
        <v>375</v>
      </c>
      <c r="AW76" s="137"/>
    </row>
    <row r="77" spans="1:49" ht="19.399999999999999" customHeight="1">
      <c r="A77" s="18" t="s">
        <v>134</v>
      </c>
      <c r="B77" s="18" t="s">
        <v>340</v>
      </c>
      <c r="C77" s="19" t="s">
        <v>368</v>
      </c>
      <c r="D77" s="19" t="s">
        <v>127</v>
      </c>
      <c r="E77" s="19" t="s">
        <v>376</v>
      </c>
      <c r="F77" s="58">
        <v>8</v>
      </c>
      <c r="G77" s="43">
        <v>22</v>
      </c>
      <c r="H77" s="44">
        <v>58.4</v>
      </c>
      <c r="I77" s="44" t="s">
        <v>38</v>
      </c>
      <c r="J77" s="43">
        <v>120</v>
      </c>
      <c r="K77" s="44">
        <v>10.4</v>
      </c>
      <c r="L77" s="44" t="s">
        <v>122</v>
      </c>
      <c r="M77" s="43" t="s">
        <v>115</v>
      </c>
      <c r="N77" s="45">
        <v>10</v>
      </c>
      <c r="O77" s="45">
        <v>2</v>
      </c>
      <c r="P77" s="45">
        <v>1</v>
      </c>
      <c r="Q77" s="45">
        <v>0</v>
      </c>
      <c r="R77" s="46">
        <v>4.1500000000000004</v>
      </c>
      <c r="S77" s="46">
        <v>4.45</v>
      </c>
      <c r="T77" s="46">
        <v>277</v>
      </c>
      <c r="U77" s="47">
        <v>3129</v>
      </c>
      <c r="V77" s="23">
        <v>24</v>
      </c>
      <c r="W77" s="38">
        <v>0</v>
      </c>
      <c r="X77" s="38">
        <v>0</v>
      </c>
      <c r="Y77" s="38">
        <v>24</v>
      </c>
      <c r="Z77" s="38">
        <v>0</v>
      </c>
      <c r="AA77" s="44">
        <v>0</v>
      </c>
      <c r="AB77" s="44">
        <v>0</v>
      </c>
      <c r="AC77" s="52" t="s">
        <v>119</v>
      </c>
      <c r="AD77" s="40">
        <v>229</v>
      </c>
      <c r="AE77" s="40"/>
      <c r="AF77" s="41">
        <v>0</v>
      </c>
      <c r="AG77" s="41">
        <v>0</v>
      </c>
      <c r="AH77" s="38">
        <v>0</v>
      </c>
      <c r="AI77" s="38">
        <v>0</v>
      </c>
      <c r="AJ77" s="38">
        <v>1.5</v>
      </c>
      <c r="AK77" s="56">
        <v>0</v>
      </c>
      <c r="AL77" s="24">
        <f t="shared" si="0"/>
        <v>1.5</v>
      </c>
      <c r="AM77" s="12"/>
      <c r="AN77" s="12"/>
      <c r="AO77" s="12"/>
      <c r="AP77" s="12"/>
      <c r="AQ77" s="55">
        <f t="shared" si="4"/>
        <v>318.70000000000005</v>
      </c>
      <c r="AR77" s="38"/>
      <c r="AS77" s="38">
        <v>320</v>
      </c>
      <c r="AT77" s="26"/>
      <c r="AU77" s="49"/>
      <c r="AV77" s="136" t="s">
        <v>170</v>
      </c>
      <c r="AW77" s="137"/>
    </row>
    <row r="78" spans="1:49" ht="19.399999999999999" customHeight="1">
      <c r="A78" s="18" t="s">
        <v>134</v>
      </c>
      <c r="B78" s="18" t="s">
        <v>379</v>
      </c>
      <c r="C78" s="19" t="s">
        <v>127</v>
      </c>
      <c r="D78" s="19" t="s">
        <v>127</v>
      </c>
      <c r="E78" s="19" t="s">
        <v>380</v>
      </c>
      <c r="F78" s="58">
        <v>8</v>
      </c>
      <c r="G78" s="43">
        <v>22</v>
      </c>
      <c r="H78" s="44">
        <v>50.3</v>
      </c>
      <c r="I78" s="44" t="s">
        <v>38</v>
      </c>
      <c r="J78" s="43">
        <v>120</v>
      </c>
      <c r="K78" s="44">
        <v>2.2999999999999998</v>
      </c>
      <c r="L78" s="44" t="s">
        <v>122</v>
      </c>
      <c r="M78" s="43" t="s">
        <v>115</v>
      </c>
      <c r="N78" s="45">
        <v>8</v>
      </c>
      <c r="O78" s="45">
        <v>3</v>
      </c>
      <c r="P78" s="45">
        <v>2</v>
      </c>
      <c r="Q78" s="45">
        <v>1</v>
      </c>
      <c r="R78" s="46">
        <v>4.0999999999999996</v>
      </c>
      <c r="S78" s="46">
        <v>4.3</v>
      </c>
      <c r="T78" s="46">
        <v>286</v>
      </c>
      <c r="U78" s="47">
        <v>3041</v>
      </c>
      <c r="V78" s="23">
        <v>24</v>
      </c>
      <c r="W78" s="38">
        <v>1.1000000000000001</v>
      </c>
      <c r="X78" s="38">
        <v>0.5</v>
      </c>
      <c r="Y78" s="38">
        <v>22.4</v>
      </c>
      <c r="Z78" s="38">
        <v>0</v>
      </c>
      <c r="AA78" s="44">
        <v>11.1</v>
      </c>
      <c r="AB78" s="44">
        <v>0.5</v>
      </c>
      <c r="AC78" s="52" t="s">
        <v>124</v>
      </c>
      <c r="AD78" s="40" t="s">
        <v>377</v>
      </c>
      <c r="AE78" s="40"/>
      <c r="AF78" s="41" t="s">
        <v>139</v>
      </c>
      <c r="AG78" s="40" t="s">
        <v>378</v>
      </c>
      <c r="AH78" s="38">
        <v>0.2</v>
      </c>
      <c r="AI78" s="38">
        <v>0.2</v>
      </c>
      <c r="AJ78" s="38">
        <v>1.2</v>
      </c>
      <c r="AK78" s="38">
        <v>0</v>
      </c>
      <c r="AL78" s="24">
        <f t="shared" si="0"/>
        <v>1.6</v>
      </c>
      <c r="AM78" s="38"/>
      <c r="AN78" s="38"/>
      <c r="AO78" s="38"/>
      <c r="AP78" s="38"/>
      <c r="AQ78" s="55">
        <f t="shared" si="4"/>
        <v>317.10000000000002</v>
      </c>
      <c r="AR78" s="38"/>
      <c r="AS78" s="38">
        <v>315</v>
      </c>
      <c r="AT78" s="26"/>
      <c r="AU78" s="49"/>
      <c r="AV78" s="139"/>
      <c r="AW78" s="141"/>
    </row>
    <row r="79" spans="1:49" ht="19.399999999999999" customHeight="1">
      <c r="A79" s="18" t="s">
        <v>134</v>
      </c>
      <c r="B79" s="18" t="s">
        <v>379</v>
      </c>
      <c r="C79" s="19" t="s">
        <v>127</v>
      </c>
      <c r="D79" s="19" t="s">
        <v>127</v>
      </c>
      <c r="E79" s="19" t="s">
        <v>382</v>
      </c>
      <c r="F79" s="58">
        <v>8</v>
      </c>
      <c r="G79" s="43">
        <v>19</v>
      </c>
      <c r="H79" s="44">
        <v>55.1</v>
      </c>
      <c r="I79" s="44" t="s">
        <v>38</v>
      </c>
      <c r="J79" s="43">
        <v>118</v>
      </c>
      <c r="K79" s="44">
        <v>49.1</v>
      </c>
      <c r="L79" s="44" t="s">
        <v>122</v>
      </c>
      <c r="M79" s="43" t="s">
        <v>115</v>
      </c>
      <c r="N79" s="45">
        <v>14</v>
      </c>
      <c r="O79" s="45">
        <v>4</v>
      </c>
      <c r="P79" s="45">
        <v>3</v>
      </c>
      <c r="Q79" s="45">
        <v>2</v>
      </c>
      <c r="R79" s="46">
        <v>4.0999999999999996</v>
      </c>
      <c r="S79" s="46">
        <v>4.3</v>
      </c>
      <c r="T79" s="46">
        <v>286</v>
      </c>
      <c r="U79" s="47">
        <v>3041</v>
      </c>
      <c r="V79" s="23">
        <v>24</v>
      </c>
      <c r="W79" s="38">
        <v>24</v>
      </c>
      <c r="X79" s="38">
        <v>0</v>
      </c>
      <c r="Y79" s="38">
        <v>0</v>
      </c>
      <c r="Z79" s="38">
        <v>0</v>
      </c>
      <c r="AA79" s="44">
        <v>187.5</v>
      </c>
      <c r="AB79" s="44">
        <v>7.8</v>
      </c>
      <c r="AC79" s="52" t="s">
        <v>124</v>
      </c>
      <c r="AD79" s="40" t="s">
        <v>381</v>
      </c>
      <c r="AE79" s="40"/>
      <c r="AF79" s="41" t="s">
        <v>139</v>
      </c>
      <c r="AG79" s="41" t="s">
        <v>378</v>
      </c>
      <c r="AH79" s="38">
        <v>6.3</v>
      </c>
      <c r="AI79" s="38">
        <v>0</v>
      </c>
      <c r="AJ79" s="38">
        <v>0</v>
      </c>
      <c r="AK79" s="38">
        <v>0</v>
      </c>
      <c r="AL79" s="24">
        <f t="shared" si="0"/>
        <v>6.3</v>
      </c>
      <c r="AM79" s="12"/>
      <c r="AN79" s="12"/>
      <c r="AO79" s="12"/>
      <c r="AP79" s="12"/>
      <c r="AQ79" s="55">
        <f t="shared" si="4"/>
        <v>310.8</v>
      </c>
      <c r="AR79" s="38"/>
      <c r="AS79" s="38">
        <v>308</v>
      </c>
      <c r="AT79" s="26"/>
      <c r="AU79" s="49"/>
      <c r="AV79" s="139"/>
      <c r="AW79" s="141"/>
    </row>
    <row r="80" spans="1:49" ht="19.399999999999999" customHeight="1">
      <c r="A80" s="18" t="s">
        <v>134</v>
      </c>
      <c r="B80" s="18" t="s">
        <v>379</v>
      </c>
      <c r="C80" s="19" t="s">
        <v>127</v>
      </c>
      <c r="D80" s="19" t="s">
        <v>127</v>
      </c>
      <c r="E80" s="19" t="s">
        <v>384</v>
      </c>
      <c r="F80" s="58">
        <v>8</v>
      </c>
      <c r="G80" s="43">
        <v>16</v>
      </c>
      <c r="H80" s="44">
        <v>58.7</v>
      </c>
      <c r="I80" s="44" t="s">
        <v>38</v>
      </c>
      <c r="J80" s="43">
        <v>117</v>
      </c>
      <c r="K80" s="44">
        <v>38.200000000000003</v>
      </c>
      <c r="L80" s="44" t="s">
        <v>122</v>
      </c>
      <c r="M80" s="43" t="s">
        <v>115</v>
      </c>
      <c r="N80" s="45">
        <v>14</v>
      </c>
      <c r="O80" s="45">
        <v>3</v>
      </c>
      <c r="P80" s="45">
        <v>2</v>
      </c>
      <c r="Q80" s="45">
        <v>1</v>
      </c>
      <c r="R80" s="46">
        <v>4.0999999999999996</v>
      </c>
      <c r="S80" s="46">
        <v>4.3</v>
      </c>
      <c r="T80" s="46">
        <v>286</v>
      </c>
      <c r="U80" s="47">
        <v>3041</v>
      </c>
      <c r="V80" s="23">
        <v>24</v>
      </c>
      <c r="W80" s="38">
        <v>24</v>
      </c>
      <c r="X80" s="38">
        <v>0</v>
      </c>
      <c r="Y80" s="38">
        <v>0</v>
      </c>
      <c r="Z80" s="38">
        <v>0</v>
      </c>
      <c r="AA80" s="44">
        <v>189.3</v>
      </c>
      <c r="AB80" s="44">
        <v>7.9</v>
      </c>
      <c r="AC80" s="52" t="s">
        <v>124</v>
      </c>
      <c r="AD80" s="40" t="s">
        <v>383</v>
      </c>
      <c r="AE80" s="40"/>
      <c r="AF80" s="41" t="s">
        <v>139</v>
      </c>
      <c r="AG80" s="40" t="s">
        <v>149</v>
      </c>
      <c r="AH80" s="38">
        <v>6.3</v>
      </c>
      <c r="AI80" s="38">
        <v>0</v>
      </c>
      <c r="AJ80" s="38">
        <v>0</v>
      </c>
      <c r="AK80" s="38">
        <v>0</v>
      </c>
      <c r="AL80" s="24">
        <f t="shared" si="0"/>
        <v>6.3</v>
      </c>
      <c r="AM80" s="12"/>
      <c r="AN80" s="12"/>
      <c r="AO80" s="12"/>
      <c r="AP80" s="12"/>
      <c r="AQ80" s="55">
        <f t="shared" si="4"/>
        <v>304.5</v>
      </c>
      <c r="AR80" s="38"/>
      <c r="AS80" s="38">
        <v>300</v>
      </c>
      <c r="AT80" s="26"/>
      <c r="AU80" s="49"/>
      <c r="AV80" s="139"/>
      <c r="AW80" s="141"/>
    </row>
    <row r="81" spans="1:49" ht="19.399999999999999" customHeight="1">
      <c r="A81" s="18" t="s">
        <v>134</v>
      </c>
      <c r="B81" s="18" t="s">
        <v>379</v>
      </c>
      <c r="C81" s="19" t="s">
        <v>127</v>
      </c>
      <c r="D81" s="19" t="s">
        <v>127</v>
      </c>
      <c r="E81" s="19" t="s">
        <v>386</v>
      </c>
      <c r="F81" s="58">
        <v>8</v>
      </c>
      <c r="G81" s="43">
        <v>14</v>
      </c>
      <c r="H81" s="44">
        <v>7.9</v>
      </c>
      <c r="I81" s="44" t="s">
        <v>38</v>
      </c>
      <c r="J81" s="43">
        <v>116</v>
      </c>
      <c r="K81" s="44">
        <v>19.399999999999999</v>
      </c>
      <c r="L81" s="44" t="s">
        <v>122</v>
      </c>
      <c r="M81" s="43" t="s">
        <v>115</v>
      </c>
      <c r="N81" s="45">
        <v>4</v>
      </c>
      <c r="O81" s="45">
        <v>4</v>
      </c>
      <c r="P81" s="45">
        <v>3</v>
      </c>
      <c r="Q81" s="45">
        <v>2</v>
      </c>
      <c r="R81" s="46">
        <v>4.0999999999999996</v>
      </c>
      <c r="S81" s="46">
        <v>4.3</v>
      </c>
      <c r="T81" s="46">
        <v>286</v>
      </c>
      <c r="U81" s="47">
        <v>3041</v>
      </c>
      <c r="V81" s="23">
        <v>24</v>
      </c>
      <c r="W81" s="38">
        <v>24</v>
      </c>
      <c r="X81" s="38">
        <v>0</v>
      </c>
      <c r="Y81" s="38">
        <v>0</v>
      </c>
      <c r="Z81" s="38">
        <v>0</v>
      </c>
      <c r="AA81" s="44">
        <v>186.2</v>
      </c>
      <c r="AB81" s="44">
        <v>7.7</v>
      </c>
      <c r="AC81" s="52" t="s">
        <v>124</v>
      </c>
      <c r="AD81" s="40" t="s">
        <v>385</v>
      </c>
      <c r="AE81" s="40"/>
      <c r="AF81" s="41" t="s">
        <v>139</v>
      </c>
      <c r="AG81" s="40" t="s">
        <v>149</v>
      </c>
      <c r="AH81" s="38">
        <v>6.7</v>
      </c>
      <c r="AI81" s="38">
        <v>0</v>
      </c>
      <c r="AJ81" s="38">
        <v>0</v>
      </c>
      <c r="AK81" s="38">
        <v>0</v>
      </c>
      <c r="AL81" s="24">
        <f t="shared" si="0"/>
        <v>6.7</v>
      </c>
      <c r="AM81" s="12"/>
      <c r="AN81" s="12"/>
      <c r="AO81" s="12"/>
      <c r="AP81" s="12"/>
      <c r="AQ81" s="55">
        <f t="shared" si="4"/>
        <v>297.8</v>
      </c>
      <c r="AR81" s="38"/>
      <c r="AS81" s="38">
        <v>293</v>
      </c>
      <c r="AT81" s="26"/>
      <c r="AU81" s="49"/>
      <c r="AV81" s="139"/>
      <c r="AW81" s="141"/>
    </row>
    <row r="82" spans="1:49" ht="19.399999999999999" customHeight="1">
      <c r="A82" s="18" t="s">
        <v>134</v>
      </c>
      <c r="B82" s="18" t="s">
        <v>379</v>
      </c>
      <c r="C82" s="19" t="s">
        <v>127</v>
      </c>
      <c r="D82" s="19" t="s">
        <v>127</v>
      </c>
      <c r="E82" s="19" t="s">
        <v>388</v>
      </c>
      <c r="F82" s="58">
        <v>8</v>
      </c>
      <c r="G82" s="43">
        <v>11</v>
      </c>
      <c r="H82" s="44">
        <v>22.2</v>
      </c>
      <c r="I82" s="44" t="s">
        <v>38</v>
      </c>
      <c r="J82" s="43">
        <v>115</v>
      </c>
      <c r="K82" s="44">
        <v>2.7</v>
      </c>
      <c r="L82" s="44" t="s">
        <v>122</v>
      </c>
      <c r="M82" s="43" t="s">
        <v>389</v>
      </c>
      <c r="N82" s="45">
        <v>4</v>
      </c>
      <c r="O82" s="45">
        <v>4</v>
      </c>
      <c r="P82" s="45">
        <v>3</v>
      </c>
      <c r="Q82" s="45">
        <v>2</v>
      </c>
      <c r="R82" s="46">
        <v>4.0999999999999996</v>
      </c>
      <c r="S82" s="46">
        <v>4.3</v>
      </c>
      <c r="T82" s="46">
        <v>286</v>
      </c>
      <c r="U82" s="47">
        <v>3041</v>
      </c>
      <c r="V82" s="23">
        <v>24</v>
      </c>
      <c r="W82" s="38">
        <v>24</v>
      </c>
      <c r="X82" s="38">
        <v>0</v>
      </c>
      <c r="Y82" s="38">
        <v>0</v>
      </c>
      <c r="Z82" s="38">
        <v>0</v>
      </c>
      <c r="AA82" s="44">
        <v>181.2</v>
      </c>
      <c r="AB82" s="44">
        <v>7.5</v>
      </c>
      <c r="AC82" s="52" t="s">
        <v>124</v>
      </c>
      <c r="AD82" s="40" t="s">
        <v>387</v>
      </c>
      <c r="AE82" s="40"/>
      <c r="AF82" s="41" t="s">
        <v>139</v>
      </c>
      <c r="AG82" s="40" t="s">
        <v>149</v>
      </c>
      <c r="AH82" s="38">
        <v>6.4</v>
      </c>
      <c r="AI82" s="38">
        <v>0</v>
      </c>
      <c r="AJ82" s="38">
        <v>0</v>
      </c>
      <c r="AK82" s="38">
        <v>0</v>
      </c>
      <c r="AL82" s="24">
        <f t="shared" si="0"/>
        <v>6.4</v>
      </c>
      <c r="AM82" s="12"/>
      <c r="AN82" s="12"/>
      <c r="AO82" s="12"/>
      <c r="AP82" s="12"/>
      <c r="AQ82" s="55">
        <f t="shared" si="4"/>
        <v>291.40000000000003</v>
      </c>
      <c r="AR82" s="38"/>
      <c r="AS82" s="38">
        <v>285</v>
      </c>
      <c r="AT82" s="26"/>
      <c r="AU82" s="49"/>
      <c r="AV82" s="139"/>
      <c r="AW82" s="141"/>
    </row>
    <row r="83" spans="1:49" ht="19.399999999999999" customHeight="1">
      <c r="A83" s="18" t="s">
        <v>134</v>
      </c>
      <c r="B83" s="18" t="s">
        <v>379</v>
      </c>
      <c r="C83" s="19" t="s">
        <v>127</v>
      </c>
      <c r="D83" s="19" t="s">
        <v>127</v>
      </c>
      <c r="E83" s="19" t="s">
        <v>392</v>
      </c>
      <c r="F83" s="58">
        <v>8</v>
      </c>
      <c r="G83" s="43">
        <v>10</v>
      </c>
      <c r="H83" s="44">
        <v>21.3</v>
      </c>
      <c r="I83" s="44" t="s">
        <v>38</v>
      </c>
      <c r="J83" s="43">
        <v>114</v>
      </c>
      <c r="K83" s="44">
        <v>22.1</v>
      </c>
      <c r="L83" s="44" t="s">
        <v>122</v>
      </c>
      <c r="M83" s="43" t="s">
        <v>115</v>
      </c>
      <c r="N83" s="45">
        <v>4</v>
      </c>
      <c r="O83" s="45">
        <v>3</v>
      </c>
      <c r="P83" s="45">
        <v>3</v>
      </c>
      <c r="Q83" s="45">
        <v>2</v>
      </c>
      <c r="R83" s="46">
        <v>4.0999999999999996</v>
      </c>
      <c r="S83" s="46">
        <v>4.3</v>
      </c>
      <c r="T83" s="46">
        <v>286</v>
      </c>
      <c r="U83" s="47">
        <v>3041</v>
      </c>
      <c r="V83" s="23">
        <v>24</v>
      </c>
      <c r="W83" s="38">
        <v>8.6999999999999993</v>
      </c>
      <c r="X83" s="38">
        <v>15.3</v>
      </c>
      <c r="Y83" s="38">
        <v>0</v>
      </c>
      <c r="Z83" s="38">
        <v>0</v>
      </c>
      <c r="AA83" s="44">
        <v>92.2</v>
      </c>
      <c r="AB83" s="44">
        <v>3.8</v>
      </c>
      <c r="AC83" s="52" t="s">
        <v>124</v>
      </c>
      <c r="AD83" s="40" t="s">
        <v>390</v>
      </c>
      <c r="AE83" s="40"/>
      <c r="AF83" s="41" t="s">
        <v>391</v>
      </c>
      <c r="AG83" s="40" t="s">
        <v>145</v>
      </c>
      <c r="AH83" s="38">
        <v>3.4</v>
      </c>
      <c r="AI83" s="38">
        <v>2</v>
      </c>
      <c r="AJ83" s="38">
        <v>0</v>
      </c>
      <c r="AK83" s="38">
        <v>0</v>
      </c>
      <c r="AL83" s="24">
        <f t="shared" si="0"/>
        <v>5.4</v>
      </c>
      <c r="AM83" s="12"/>
      <c r="AN83" s="12"/>
      <c r="AO83" s="12"/>
      <c r="AP83" s="12"/>
      <c r="AQ83" s="55">
        <f t="shared" si="4"/>
        <v>286.00000000000006</v>
      </c>
      <c r="AR83" s="38"/>
      <c r="AS83" s="38">
        <v>275</v>
      </c>
      <c r="AT83" s="26"/>
      <c r="AU83" s="49"/>
      <c r="AV83" s="139"/>
      <c r="AW83" s="141"/>
    </row>
    <row r="84" spans="1:49" ht="19.399999999999999" customHeight="1">
      <c r="A84" s="18" t="s">
        <v>134</v>
      </c>
      <c r="B84" s="18" t="s">
        <v>379</v>
      </c>
      <c r="C84" s="19" t="s">
        <v>127</v>
      </c>
      <c r="D84" s="19" t="s">
        <v>127</v>
      </c>
      <c r="E84" s="19" t="s">
        <v>396</v>
      </c>
      <c r="F84" s="58">
        <v>8</v>
      </c>
      <c r="G84" s="43">
        <v>10</v>
      </c>
      <c r="H84" s="44">
        <v>21.1</v>
      </c>
      <c r="I84" s="44" t="s">
        <v>38</v>
      </c>
      <c r="J84" s="43">
        <v>114</v>
      </c>
      <c r="K84" s="44">
        <v>22.1</v>
      </c>
      <c r="L84" s="44" t="s">
        <v>122</v>
      </c>
      <c r="M84" s="43" t="s">
        <v>115</v>
      </c>
      <c r="N84" s="45">
        <v>12</v>
      </c>
      <c r="O84" s="45">
        <v>3</v>
      </c>
      <c r="P84" s="45">
        <v>3</v>
      </c>
      <c r="Q84" s="45">
        <v>2</v>
      </c>
      <c r="R84" s="46">
        <v>4.0999999999999996</v>
      </c>
      <c r="S84" s="46">
        <v>4.3</v>
      </c>
      <c r="T84" s="46">
        <v>286</v>
      </c>
      <c r="U84" s="47">
        <v>3041</v>
      </c>
      <c r="V84" s="23">
        <v>24</v>
      </c>
      <c r="W84" s="38">
        <v>0</v>
      </c>
      <c r="X84" s="38">
        <v>24</v>
      </c>
      <c r="Y84" s="38">
        <v>0</v>
      </c>
      <c r="Z84" s="38">
        <v>0</v>
      </c>
      <c r="AA84" s="44">
        <v>65.900000000000006</v>
      </c>
      <c r="AB84" s="44">
        <v>2.7</v>
      </c>
      <c r="AC84" s="52" t="s">
        <v>124</v>
      </c>
      <c r="AD84" s="40" t="s">
        <v>393</v>
      </c>
      <c r="AE84" s="40"/>
      <c r="AF84" s="41" t="s">
        <v>395</v>
      </c>
      <c r="AG84" s="40" t="s">
        <v>394</v>
      </c>
      <c r="AH84" s="38">
        <v>0</v>
      </c>
      <c r="AI84" s="38">
        <v>5.0999999999999996</v>
      </c>
      <c r="AJ84" s="38">
        <v>0</v>
      </c>
      <c r="AK84" s="38">
        <v>0</v>
      </c>
      <c r="AL84" s="24">
        <f t="shared" si="0"/>
        <v>5.0999999999999996</v>
      </c>
      <c r="AM84" s="12"/>
      <c r="AN84" s="12"/>
      <c r="AO84" s="12"/>
      <c r="AP84" s="12"/>
      <c r="AQ84" s="55">
        <f t="shared" si="4"/>
        <v>280.90000000000003</v>
      </c>
      <c r="AR84" s="38"/>
      <c r="AS84" s="38">
        <v>267</v>
      </c>
      <c r="AT84" s="26"/>
      <c r="AU84" s="49"/>
      <c r="AV84" s="139"/>
      <c r="AW84" s="141"/>
    </row>
    <row r="85" spans="1:49" ht="19.399999999999999" customHeight="1">
      <c r="A85" s="18" t="s">
        <v>134</v>
      </c>
      <c r="B85" s="18" t="s">
        <v>379</v>
      </c>
      <c r="C85" s="19" t="s">
        <v>127</v>
      </c>
      <c r="D85" s="19" t="s">
        <v>127</v>
      </c>
      <c r="E85" s="19" t="s">
        <v>398</v>
      </c>
      <c r="F85" s="58">
        <v>8</v>
      </c>
      <c r="G85" s="43">
        <v>10</v>
      </c>
      <c r="H85" s="44">
        <v>25</v>
      </c>
      <c r="I85" s="44" t="s">
        <v>38</v>
      </c>
      <c r="J85" s="43">
        <v>114</v>
      </c>
      <c r="K85" s="44">
        <v>20.6</v>
      </c>
      <c r="L85" s="44" t="s">
        <v>122</v>
      </c>
      <c r="M85" s="43" t="s">
        <v>115</v>
      </c>
      <c r="N85" s="45">
        <v>12</v>
      </c>
      <c r="O85" s="45">
        <v>4</v>
      </c>
      <c r="P85" s="45">
        <v>3</v>
      </c>
      <c r="Q85" s="45">
        <v>2</v>
      </c>
      <c r="R85" s="46">
        <v>4.0999999999999996</v>
      </c>
      <c r="S85" s="46">
        <v>4.3</v>
      </c>
      <c r="T85" s="46">
        <v>286</v>
      </c>
      <c r="U85" s="47">
        <v>3041</v>
      </c>
      <c r="V85" s="23">
        <v>24</v>
      </c>
      <c r="W85" s="38">
        <v>0</v>
      </c>
      <c r="X85" s="38">
        <v>24</v>
      </c>
      <c r="Y85" s="38">
        <v>0</v>
      </c>
      <c r="Z85" s="38">
        <v>0</v>
      </c>
      <c r="AA85" s="44">
        <v>63.7</v>
      </c>
      <c r="AB85" s="44">
        <v>2.6</v>
      </c>
      <c r="AC85" s="52" t="s">
        <v>124</v>
      </c>
      <c r="AD85" s="40" t="s">
        <v>397</v>
      </c>
      <c r="AE85" s="40"/>
      <c r="AF85" s="40" t="s">
        <v>158</v>
      </c>
      <c r="AG85" s="41" t="s">
        <v>276</v>
      </c>
      <c r="AH85" s="38">
        <v>0</v>
      </c>
      <c r="AI85" s="38">
        <v>5.4</v>
      </c>
      <c r="AJ85" s="38">
        <v>0</v>
      </c>
      <c r="AK85" s="38">
        <v>0</v>
      </c>
      <c r="AL85" s="24">
        <f t="shared" si="0"/>
        <v>5.4</v>
      </c>
      <c r="AM85" s="12"/>
      <c r="AN85" s="12"/>
      <c r="AO85" s="12"/>
      <c r="AP85" s="12"/>
      <c r="AQ85" s="55">
        <f t="shared" si="4"/>
        <v>275.50000000000006</v>
      </c>
      <c r="AR85" s="38"/>
      <c r="AS85" s="38">
        <v>257</v>
      </c>
      <c r="AT85" s="26"/>
      <c r="AU85" s="49"/>
      <c r="AV85" s="139"/>
      <c r="AW85" s="141"/>
    </row>
    <row r="86" spans="1:49" ht="19.399999999999999" customHeight="1">
      <c r="A86" s="18" t="s">
        <v>134</v>
      </c>
      <c r="B86" s="18" t="s">
        <v>379</v>
      </c>
      <c r="C86" s="19" t="s">
        <v>127</v>
      </c>
      <c r="D86" s="19" t="s">
        <v>127</v>
      </c>
      <c r="E86" s="19" t="s">
        <v>400</v>
      </c>
      <c r="F86" s="58">
        <v>8</v>
      </c>
      <c r="G86" s="43">
        <v>13</v>
      </c>
      <c r="H86" s="44">
        <v>10.6</v>
      </c>
      <c r="I86" s="44" t="s">
        <v>38</v>
      </c>
      <c r="J86" s="43">
        <v>115</v>
      </c>
      <c r="K86" s="44">
        <v>59.8</v>
      </c>
      <c r="L86" s="44" t="s">
        <v>122</v>
      </c>
      <c r="M86" s="43" t="s">
        <v>401</v>
      </c>
      <c r="N86" s="45">
        <v>12</v>
      </c>
      <c r="O86" s="45">
        <v>5</v>
      </c>
      <c r="P86" s="45">
        <v>3</v>
      </c>
      <c r="Q86" s="45">
        <v>2</v>
      </c>
      <c r="R86" s="46">
        <v>4.0999999999999996</v>
      </c>
      <c r="S86" s="46">
        <v>4.3</v>
      </c>
      <c r="T86" s="46">
        <v>286</v>
      </c>
      <c r="U86" s="47">
        <v>3041</v>
      </c>
      <c r="V86" s="23">
        <v>24</v>
      </c>
      <c r="W86" s="38">
        <v>24</v>
      </c>
      <c r="X86" s="38">
        <v>0</v>
      </c>
      <c r="Y86" s="38">
        <v>0</v>
      </c>
      <c r="Z86" s="38">
        <v>0</v>
      </c>
      <c r="AA86" s="44">
        <v>196.7</v>
      </c>
      <c r="AB86" s="44">
        <v>8.1999999999999993</v>
      </c>
      <c r="AC86" s="52" t="s">
        <v>124</v>
      </c>
      <c r="AD86" s="40" t="s">
        <v>399</v>
      </c>
      <c r="AE86" s="40"/>
      <c r="AF86" s="40" t="s">
        <v>139</v>
      </c>
      <c r="AG86" s="41" t="s">
        <v>149</v>
      </c>
      <c r="AH86" s="38">
        <v>5.7</v>
      </c>
      <c r="AI86" s="38">
        <v>0</v>
      </c>
      <c r="AJ86" s="38">
        <v>0</v>
      </c>
      <c r="AK86" s="38">
        <v>0</v>
      </c>
      <c r="AL86" s="24">
        <f t="shared" si="0"/>
        <v>5.7</v>
      </c>
      <c r="AM86" s="12"/>
      <c r="AN86" s="12"/>
      <c r="AO86" s="12"/>
      <c r="AP86" s="12"/>
      <c r="AQ86" s="55">
        <f t="shared" si="4"/>
        <v>269.80000000000007</v>
      </c>
      <c r="AR86" s="38"/>
      <c r="AS86" s="38">
        <v>246</v>
      </c>
      <c r="AT86" s="26"/>
      <c r="AU86" s="49"/>
      <c r="AV86" s="139"/>
      <c r="AW86" s="141"/>
    </row>
    <row r="87" spans="1:49" ht="19.399999999999999" customHeight="1">
      <c r="A87" s="18" t="s">
        <v>134</v>
      </c>
      <c r="B87" s="18" t="s">
        <v>379</v>
      </c>
      <c r="C87" s="19" t="s">
        <v>127</v>
      </c>
      <c r="D87" s="19" t="s">
        <v>127</v>
      </c>
      <c r="E87" s="19" t="s">
        <v>404</v>
      </c>
      <c r="F87" s="58">
        <v>8</v>
      </c>
      <c r="G87" s="43">
        <v>16</v>
      </c>
      <c r="H87" s="44">
        <v>15.1</v>
      </c>
      <c r="I87" s="44" t="s">
        <v>38</v>
      </c>
      <c r="J87" s="43">
        <v>117</v>
      </c>
      <c r="K87" s="44">
        <v>14.3</v>
      </c>
      <c r="L87" s="44" t="s">
        <v>122</v>
      </c>
      <c r="M87" s="43" t="s">
        <v>117</v>
      </c>
      <c r="N87" s="45">
        <v>10</v>
      </c>
      <c r="O87" s="45">
        <v>3</v>
      </c>
      <c r="P87" s="45">
        <v>3</v>
      </c>
      <c r="Q87" s="45">
        <v>1</v>
      </c>
      <c r="R87" s="46">
        <v>4.0999999999999996</v>
      </c>
      <c r="S87" s="46">
        <v>4.3</v>
      </c>
      <c r="T87" s="46">
        <v>286</v>
      </c>
      <c r="U87" s="47">
        <v>3041</v>
      </c>
      <c r="V87" s="23">
        <v>24</v>
      </c>
      <c r="W87" s="38">
        <v>24</v>
      </c>
      <c r="X87" s="38">
        <v>0</v>
      </c>
      <c r="Y87" s="38">
        <v>0</v>
      </c>
      <c r="Z87" s="38">
        <v>0</v>
      </c>
      <c r="AA87" s="44">
        <v>197.6</v>
      </c>
      <c r="AB87" s="44">
        <v>8.1999999999999993</v>
      </c>
      <c r="AC87" s="52" t="s">
        <v>124</v>
      </c>
      <c r="AD87" s="19" t="s">
        <v>403</v>
      </c>
      <c r="AE87" s="40"/>
      <c r="AF87" s="40" t="s">
        <v>139</v>
      </c>
      <c r="AG87" s="41" t="s">
        <v>402</v>
      </c>
      <c r="AH87" s="38">
        <v>6.3</v>
      </c>
      <c r="AI87" s="38">
        <v>0</v>
      </c>
      <c r="AJ87" s="38">
        <v>0</v>
      </c>
      <c r="AK87" s="38">
        <v>0</v>
      </c>
      <c r="AL87" s="24">
        <f t="shared" si="0"/>
        <v>6.3</v>
      </c>
      <c r="AM87" s="12"/>
      <c r="AN87" s="12"/>
      <c r="AO87" s="12"/>
      <c r="AP87" s="12"/>
      <c r="AQ87" s="55">
        <f t="shared" si="4"/>
        <v>263.50000000000006</v>
      </c>
      <c r="AR87" s="38"/>
      <c r="AS87" s="38">
        <v>243</v>
      </c>
      <c r="AT87" s="26"/>
      <c r="AU87" s="49"/>
      <c r="AV87" s="139"/>
      <c r="AW87" s="141"/>
    </row>
    <row r="88" spans="1:49" ht="19.399999999999999" customHeight="1">
      <c r="A88" s="18" t="s">
        <v>134</v>
      </c>
      <c r="B88" s="18" t="s">
        <v>379</v>
      </c>
      <c r="C88" s="19" t="s">
        <v>127</v>
      </c>
      <c r="D88" s="19" t="s">
        <v>127</v>
      </c>
      <c r="E88" s="19" t="s">
        <v>407</v>
      </c>
      <c r="F88" s="58">
        <v>8</v>
      </c>
      <c r="G88" s="43">
        <v>19</v>
      </c>
      <c r="H88" s="44">
        <v>18.899999999999999</v>
      </c>
      <c r="I88" s="44" t="s">
        <v>38</v>
      </c>
      <c r="J88" s="43">
        <v>118</v>
      </c>
      <c r="K88" s="44">
        <v>40.9</v>
      </c>
      <c r="L88" s="44" t="s">
        <v>122</v>
      </c>
      <c r="M88" s="43" t="s">
        <v>117</v>
      </c>
      <c r="N88" s="45">
        <v>10</v>
      </c>
      <c r="O88" s="45">
        <v>3</v>
      </c>
      <c r="P88" s="45">
        <v>3</v>
      </c>
      <c r="Q88" s="45">
        <v>1</v>
      </c>
      <c r="R88" s="46">
        <v>4.0999999999999996</v>
      </c>
      <c r="S88" s="46">
        <v>4.3</v>
      </c>
      <c r="T88" s="46">
        <v>286</v>
      </c>
      <c r="U88" s="47">
        <v>3041</v>
      </c>
      <c r="V88" s="23">
        <v>24</v>
      </c>
      <c r="W88" s="38">
        <v>24</v>
      </c>
      <c r="X88" s="38">
        <v>0</v>
      </c>
      <c r="Y88" s="38">
        <v>0</v>
      </c>
      <c r="Z88" s="38">
        <v>0</v>
      </c>
      <c r="AA88" s="44">
        <v>200.2</v>
      </c>
      <c r="AB88" s="44">
        <v>8.3000000000000007</v>
      </c>
      <c r="AC88" s="52" t="s">
        <v>128</v>
      </c>
      <c r="AD88" s="19" t="s">
        <v>405</v>
      </c>
      <c r="AE88" s="40"/>
      <c r="AF88" s="40" t="s">
        <v>148</v>
      </c>
      <c r="AG88" s="41" t="s">
        <v>406</v>
      </c>
      <c r="AH88" s="38">
        <v>5.7</v>
      </c>
      <c r="AI88" s="38">
        <v>0</v>
      </c>
      <c r="AJ88" s="38">
        <v>0</v>
      </c>
      <c r="AK88" s="38">
        <v>0</v>
      </c>
      <c r="AL88" s="24">
        <f t="shared" si="0"/>
        <v>5.7</v>
      </c>
      <c r="AM88" s="12"/>
      <c r="AN88" s="12"/>
      <c r="AO88" s="12"/>
      <c r="AP88" s="12"/>
      <c r="AQ88" s="55">
        <f t="shared" si="4"/>
        <v>257.80000000000007</v>
      </c>
      <c r="AR88" s="38"/>
      <c r="AS88" s="38">
        <v>232</v>
      </c>
      <c r="AT88" s="26"/>
      <c r="AU88" s="49"/>
      <c r="AV88" s="139"/>
      <c r="AW88" s="141"/>
    </row>
    <row r="89" spans="1:49" ht="19.399999999999999" customHeight="1">
      <c r="A89" s="18" t="s">
        <v>134</v>
      </c>
      <c r="B89" s="18" t="s">
        <v>379</v>
      </c>
      <c r="C89" s="19" t="s">
        <v>127</v>
      </c>
      <c r="D89" s="19" t="s">
        <v>127</v>
      </c>
      <c r="E89" s="19" t="s">
        <v>409</v>
      </c>
      <c r="F89" s="58">
        <v>8</v>
      </c>
      <c r="G89" s="43">
        <v>22</v>
      </c>
      <c r="H89" s="44">
        <v>29.2</v>
      </c>
      <c r="I89" s="44" t="s">
        <v>38</v>
      </c>
      <c r="J89" s="43">
        <v>119</v>
      </c>
      <c r="K89" s="44">
        <v>59</v>
      </c>
      <c r="L89" s="44" t="s">
        <v>122</v>
      </c>
      <c r="M89" s="43" t="s">
        <v>117</v>
      </c>
      <c r="N89" s="45">
        <v>10</v>
      </c>
      <c r="O89" s="45">
        <v>3</v>
      </c>
      <c r="P89" s="45">
        <v>2</v>
      </c>
      <c r="Q89" s="45">
        <v>1</v>
      </c>
      <c r="R89" s="46">
        <v>4.0999999999999996</v>
      </c>
      <c r="S89" s="46">
        <v>4.3</v>
      </c>
      <c r="T89" s="46">
        <v>286</v>
      </c>
      <c r="U89" s="47">
        <v>3041</v>
      </c>
      <c r="V89" s="23">
        <v>24</v>
      </c>
      <c r="W89" s="38">
        <v>24</v>
      </c>
      <c r="X89" s="38">
        <v>0</v>
      </c>
      <c r="Y89" s="38">
        <v>0</v>
      </c>
      <c r="Z89" s="38">
        <v>0</v>
      </c>
      <c r="AA89" s="44">
        <v>203.6</v>
      </c>
      <c r="AB89" s="44">
        <v>8.5</v>
      </c>
      <c r="AC89" s="52" t="s">
        <v>126</v>
      </c>
      <c r="AD89" s="19" t="s">
        <v>408</v>
      </c>
      <c r="AE89" s="40"/>
      <c r="AF89" s="41" t="s">
        <v>148</v>
      </c>
      <c r="AG89" s="40" t="s">
        <v>406</v>
      </c>
      <c r="AH89" s="38">
        <v>6.5</v>
      </c>
      <c r="AI89" s="38">
        <v>0</v>
      </c>
      <c r="AJ89" s="38">
        <v>0</v>
      </c>
      <c r="AK89" s="21">
        <v>0</v>
      </c>
      <c r="AL89" s="24">
        <f t="shared" si="0"/>
        <v>6.5</v>
      </c>
      <c r="AM89" s="12"/>
      <c r="AN89" s="12"/>
      <c r="AO89" s="12"/>
      <c r="AP89" s="12"/>
      <c r="AQ89" s="55">
        <f t="shared" si="4"/>
        <v>251.30000000000007</v>
      </c>
      <c r="AR89" s="38"/>
      <c r="AS89" s="38">
        <v>220</v>
      </c>
      <c r="AT89" s="26"/>
      <c r="AU89" s="49"/>
      <c r="AV89" s="139"/>
      <c r="AW89" s="141"/>
    </row>
    <row r="90" spans="1:49" ht="19.399999999999999" customHeight="1">
      <c r="A90" s="18" t="s">
        <v>134</v>
      </c>
      <c r="B90" s="18" t="s">
        <v>411</v>
      </c>
      <c r="C90" s="19" t="s">
        <v>127</v>
      </c>
      <c r="D90" s="19" t="s">
        <v>127</v>
      </c>
      <c r="E90" s="19" t="s">
        <v>410</v>
      </c>
      <c r="F90" s="58">
        <v>8</v>
      </c>
      <c r="G90" s="43">
        <v>22</v>
      </c>
      <c r="H90" s="44">
        <v>58.4</v>
      </c>
      <c r="I90" s="44" t="s">
        <v>38</v>
      </c>
      <c r="J90" s="43">
        <v>120</v>
      </c>
      <c r="K90" s="44">
        <v>10.4</v>
      </c>
      <c r="L90" s="44" t="s">
        <v>122</v>
      </c>
      <c r="M90" s="43" t="s">
        <v>115</v>
      </c>
      <c r="N90" s="45">
        <v>10</v>
      </c>
      <c r="O90" s="45">
        <v>2</v>
      </c>
      <c r="P90" s="45">
        <v>2</v>
      </c>
      <c r="Q90" s="45">
        <v>1</v>
      </c>
      <c r="R90" s="46">
        <v>3.8</v>
      </c>
      <c r="S90" s="46">
        <v>4.2</v>
      </c>
      <c r="T90" s="46">
        <v>286</v>
      </c>
      <c r="U90" s="47">
        <v>3041</v>
      </c>
      <c r="V90" s="23">
        <v>24</v>
      </c>
      <c r="W90" s="38">
        <v>0</v>
      </c>
      <c r="X90" s="38">
        <v>0</v>
      </c>
      <c r="Y90" s="38">
        <v>24</v>
      </c>
      <c r="Z90" s="38">
        <v>0</v>
      </c>
      <c r="AA90" s="44">
        <v>0</v>
      </c>
      <c r="AB90" s="44">
        <v>0</v>
      </c>
      <c r="AC90" s="52" t="s">
        <v>113</v>
      </c>
      <c r="AD90" s="19">
        <v>229</v>
      </c>
      <c r="AE90" s="40"/>
      <c r="AF90" s="41">
        <v>0</v>
      </c>
      <c r="AG90" s="40">
        <v>0</v>
      </c>
      <c r="AH90" s="38">
        <v>1.5</v>
      </c>
      <c r="AI90" s="38">
        <v>0</v>
      </c>
      <c r="AJ90" s="21">
        <v>1.7</v>
      </c>
      <c r="AK90" s="21">
        <v>0</v>
      </c>
      <c r="AL90" s="24">
        <f t="shared" si="0"/>
        <v>3.2</v>
      </c>
      <c r="AM90" s="12"/>
      <c r="AN90" s="12"/>
      <c r="AO90" s="12"/>
      <c r="AP90" s="12"/>
      <c r="AQ90" s="55">
        <f t="shared" si="4"/>
        <v>248.10000000000008</v>
      </c>
      <c r="AR90" s="38"/>
      <c r="AS90" s="38">
        <v>217</v>
      </c>
      <c r="AT90" s="26"/>
      <c r="AU90" s="49"/>
      <c r="AV90" s="136" t="s">
        <v>375</v>
      </c>
      <c r="AW90" s="137"/>
    </row>
    <row r="91" spans="1:49" ht="19.399999999999999" customHeight="1">
      <c r="A91" s="18" t="s">
        <v>134</v>
      </c>
      <c r="B91" s="18" t="s">
        <v>411</v>
      </c>
      <c r="C91" s="19" t="s">
        <v>127</v>
      </c>
      <c r="D91" s="19" t="s">
        <v>127</v>
      </c>
      <c r="E91" s="19" t="s">
        <v>412</v>
      </c>
      <c r="F91" s="58">
        <v>8</v>
      </c>
      <c r="G91" s="43">
        <v>22</v>
      </c>
      <c r="H91" s="44">
        <v>58.4</v>
      </c>
      <c r="I91" s="44" t="s">
        <v>38</v>
      </c>
      <c r="J91" s="43">
        <v>120</v>
      </c>
      <c r="K91" s="44">
        <v>10.4</v>
      </c>
      <c r="L91" s="44" t="s">
        <v>122</v>
      </c>
      <c r="M91" s="43" t="s">
        <v>115</v>
      </c>
      <c r="N91" s="45">
        <v>10</v>
      </c>
      <c r="O91" s="45">
        <v>2</v>
      </c>
      <c r="P91" s="45">
        <v>2</v>
      </c>
      <c r="Q91" s="45">
        <v>1</v>
      </c>
      <c r="R91" s="46">
        <v>3.8</v>
      </c>
      <c r="S91" s="46">
        <v>4.2</v>
      </c>
      <c r="T91" s="46">
        <v>286</v>
      </c>
      <c r="U91" s="47">
        <v>3041</v>
      </c>
      <c r="V91" s="23">
        <v>24</v>
      </c>
      <c r="W91" s="38">
        <v>0</v>
      </c>
      <c r="X91" s="38">
        <v>0</v>
      </c>
      <c r="Y91" s="38">
        <v>24</v>
      </c>
      <c r="Z91" s="38">
        <v>0</v>
      </c>
      <c r="AA91" s="44">
        <v>0</v>
      </c>
      <c r="AB91" s="44">
        <v>0</v>
      </c>
      <c r="AC91" s="52" t="s">
        <v>113</v>
      </c>
      <c r="AD91" s="25">
        <v>177</v>
      </c>
      <c r="AE91" s="41"/>
      <c r="AF91" s="25">
        <v>0</v>
      </c>
      <c r="AG91" s="41">
        <v>0</v>
      </c>
      <c r="AH91" s="56">
        <v>0</v>
      </c>
      <c r="AI91" s="56">
        <v>0</v>
      </c>
      <c r="AJ91" s="57">
        <v>1</v>
      </c>
      <c r="AK91" s="57">
        <v>0</v>
      </c>
      <c r="AL91" s="24">
        <f t="shared" si="0"/>
        <v>1</v>
      </c>
      <c r="AM91" s="55"/>
      <c r="AN91" s="55"/>
      <c r="AO91" s="55"/>
      <c r="AP91" s="55"/>
      <c r="AQ91" s="55">
        <f t="shared" si="4"/>
        <v>247.10000000000008</v>
      </c>
      <c r="AR91" s="38"/>
      <c r="AS91" s="38">
        <v>322</v>
      </c>
      <c r="AT91" s="26"/>
      <c r="AU91" s="49"/>
      <c r="AV91" s="136" t="s">
        <v>413</v>
      </c>
      <c r="AW91" s="137"/>
    </row>
    <row r="92" spans="1:49" ht="19.399999999999999" customHeight="1">
      <c r="A92" s="18" t="s">
        <v>134</v>
      </c>
      <c r="B92" s="18" t="s">
        <v>379</v>
      </c>
      <c r="C92" s="19" t="s">
        <v>127</v>
      </c>
      <c r="D92" s="19" t="s">
        <v>127</v>
      </c>
      <c r="E92" s="19" t="s">
        <v>414</v>
      </c>
      <c r="F92" s="58">
        <v>8</v>
      </c>
      <c r="G92" s="43">
        <v>22</v>
      </c>
      <c r="H92" s="44">
        <v>58.4</v>
      </c>
      <c r="I92" s="44" t="s">
        <v>38</v>
      </c>
      <c r="J92" s="43">
        <v>120</v>
      </c>
      <c r="K92" s="44">
        <v>10.4</v>
      </c>
      <c r="L92" s="44" t="s">
        <v>122</v>
      </c>
      <c r="M92" s="43" t="s">
        <v>115</v>
      </c>
      <c r="N92" s="45">
        <v>10</v>
      </c>
      <c r="O92" s="45">
        <v>2</v>
      </c>
      <c r="P92" s="45">
        <v>2</v>
      </c>
      <c r="Q92" s="45">
        <v>1</v>
      </c>
      <c r="R92" s="46">
        <v>3.8</v>
      </c>
      <c r="S92" s="46">
        <v>4.2</v>
      </c>
      <c r="T92" s="46">
        <v>286</v>
      </c>
      <c r="U92" s="47">
        <v>3041</v>
      </c>
      <c r="V92" s="23">
        <v>24</v>
      </c>
      <c r="W92" s="38">
        <v>0</v>
      </c>
      <c r="X92" s="38">
        <v>0</v>
      </c>
      <c r="Y92" s="38">
        <v>24</v>
      </c>
      <c r="Z92" s="38">
        <v>0</v>
      </c>
      <c r="AA92" s="44">
        <v>0</v>
      </c>
      <c r="AB92" s="44">
        <v>0</v>
      </c>
      <c r="AC92" s="52" t="s">
        <v>113</v>
      </c>
      <c r="AD92" s="19">
        <v>219</v>
      </c>
      <c r="AE92" s="40"/>
      <c r="AF92" s="25">
        <v>0</v>
      </c>
      <c r="AG92" s="40">
        <v>0</v>
      </c>
      <c r="AH92" s="38">
        <v>0</v>
      </c>
      <c r="AI92" s="38">
        <v>0</v>
      </c>
      <c r="AJ92" s="21">
        <v>1</v>
      </c>
      <c r="AK92" s="21">
        <v>0</v>
      </c>
      <c r="AL92" s="24">
        <f t="shared" si="0"/>
        <v>1</v>
      </c>
      <c r="AM92" s="12"/>
      <c r="AN92" s="12"/>
      <c r="AO92" s="12"/>
      <c r="AP92" s="12"/>
      <c r="AQ92" s="55">
        <f t="shared" si="4"/>
        <v>246.10000000000008</v>
      </c>
      <c r="AR92" s="38"/>
      <c r="AS92" s="38">
        <v>318</v>
      </c>
      <c r="AT92" s="26"/>
      <c r="AU92" s="49"/>
      <c r="AV92" s="136"/>
      <c r="AW92" s="137"/>
    </row>
    <row r="93" spans="1:49" ht="19.399999999999999" customHeight="1">
      <c r="A93" s="18" t="s">
        <v>134</v>
      </c>
      <c r="B93" s="18" t="s">
        <v>379</v>
      </c>
      <c r="C93" s="19" t="s">
        <v>127</v>
      </c>
      <c r="D93" s="19" t="s">
        <v>127</v>
      </c>
      <c r="E93" s="19" t="s">
        <v>415</v>
      </c>
      <c r="F93" s="58">
        <v>8</v>
      </c>
      <c r="G93" s="43">
        <v>22</v>
      </c>
      <c r="H93" s="44">
        <v>58.4</v>
      </c>
      <c r="I93" s="44" t="s">
        <v>38</v>
      </c>
      <c r="J93" s="43">
        <v>120</v>
      </c>
      <c r="K93" s="44">
        <v>10.4</v>
      </c>
      <c r="L93" s="44" t="s">
        <v>122</v>
      </c>
      <c r="M93" s="43" t="s">
        <v>115</v>
      </c>
      <c r="N93" s="45">
        <v>10</v>
      </c>
      <c r="O93" s="45">
        <v>2</v>
      </c>
      <c r="P93" s="45">
        <v>2</v>
      </c>
      <c r="Q93" s="45">
        <v>1</v>
      </c>
      <c r="R93" s="46">
        <v>3.8</v>
      </c>
      <c r="S93" s="46">
        <v>4.2</v>
      </c>
      <c r="T93" s="46">
        <v>286</v>
      </c>
      <c r="U93" s="47">
        <v>3041</v>
      </c>
      <c r="V93" s="23">
        <v>24</v>
      </c>
      <c r="W93" s="38">
        <v>0</v>
      </c>
      <c r="X93" s="38">
        <v>0</v>
      </c>
      <c r="Y93" s="38">
        <v>24</v>
      </c>
      <c r="Z93" s="38">
        <v>0</v>
      </c>
      <c r="AA93" s="44">
        <v>0</v>
      </c>
      <c r="AB93" s="44">
        <v>0</v>
      </c>
      <c r="AC93" s="52" t="s">
        <v>113</v>
      </c>
      <c r="AD93" s="19">
        <v>222</v>
      </c>
      <c r="AE93" s="40"/>
      <c r="AF93" s="25">
        <v>0</v>
      </c>
      <c r="AG93" s="40">
        <v>0</v>
      </c>
      <c r="AH93" s="38">
        <v>0</v>
      </c>
      <c r="AI93" s="38">
        <v>0</v>
      </c>
      <c r="AJ93" s="21">
        <v>1</v>
      </c>
      <c r="AK93" s="21">
        <v>0</v>
      </c>
      <c r="AL93" s="24">
        <f t="shared" si="0"/>
        <v>1</v>
      </c>
      <c r="AM93" s="12"/>
      <c r="AN93" s="12"/>
      <c r="AO93" s="12"/>
      <c r="AP93" s="12"/>
      <c r="AQ93" s="55">
        <f t="shared" si="4"/>
        <v>245.10000000000008</v>
      </c>
      <c r="AR93" s="21"/>
      <c r="AS93" s="12">
        <v>316</v>
      </c>
      <c r="AT93" s="26"/>
      <c r="AU93" s="49"/>
      <c r="AV93" s="136"/>
      <c r="AW93" s="137"/>
    </row>
    <row r="94" spans="1:49" ht="19.399999999999999" customHeight="1">
      <c r="A94" s="18" t="s">
        <v>134</v>
      </c>
      <c r="B94" s="18" t="s">
        <v>417</v>
      </c>
      <c r="C94" s="19" t="s">
        <v>127</v>
      </c>
      <c r="D94" s="19" t="s">
        <v>127</v>
      </c>
      <c r="E94" s="19" t="s">
        <v>418</v>
      </c>
      <c r="F94" s="58">
        <v>8</v>
      </c>
      <c r="G94" s="43">
        <v>22</v>
      </c>
      <c r="H94" s="44">
        <v>56</v>
      </c>
      <c r="I94" s="44" t="s">
        <v>38</v>
      </c>
      <c r="J94" s="43">
        <v>120</v>
      </c>
      <c r="K94" s="44">
        <v>6.1</v>
      </c>
      <c r="L94" s="44" t="s">
        <v>122</v>
      </c>
      <c r="M94" s="43" t="s">
        <v>115</v>
      </c>
      <c r="N94" s="45">
        <v>12</v>
      </c>
      <c r="O94" s="45">
        <v>3</v>
      </c>
      <c r="P94" s="45">
        <v>2</v>
      </c>
      <c r="Q94" s="45">
        <v>1</v>
      </c>
      <c r="R94" s="46">
        <v>3.8</v>
      </c>
      <c r="S94" s="46">
        <v>4.2</v>
      </c>
      <c r="T94" s="46">
        <v>286</v>
      </c>
      <c r="U94" s="47">
        <v>3014</v>
      </c>
      <c r="V94" s="23">
        <v>24</v>
      </c>
      <c r="W94" s="38">
        <v>0.2</v>
      </c>
      <c r="X94" s="38">
        <v>0.6</v>
      </c>
      <c r="Y94" s="38">
        <v>23.2</v>
      </c>
      <c r="Z94" s="38">
        <v>0</v>
      </c>
      <c r="AA94" s="44">
        <v>4.2</v>
      </c>
      <c r="AB94" s="44">
        <v>0.2</v>
      </c>
      <c r="AC94" s="52" t="s">
        <v>131</v>
      </c>
      <c r="AD94" s="25" t="s">
        <v>416</v>
      </c>
      <c r="AE94" s="41"/>
      <c r="AF94" s="25" t="s">
        <v>339</v>
      </c>
      <c r="AG94" s="25">
        <v>0</v>
      </c>
      <c r="AH94" s="56">
        <v>0.1</v>
      </c>
      <c r="AI94" s="56">
        <v>0.1</v>
      </c>
      <c r="AJ94" s="57">
        <v>1</v>
      </c>
      <c r="AK94" s="57">
        <v>0</v>
      </c>
      <c r="AL94" s="24">
        <f t="shared" si="0"/>
        <v>1.2</v>
      </c>
      <c r="AM94" s="55"/>
      <c r="AN94" s="55"/>
      <c r="AO94" s="55"/>
      <c r="AP94" s="55"/>
      <c r="AQ94" s="55">
        <f t="shared" si="4"/>
        <v>243.90000000000009</v>
      </c>
      <c r="AR94" s="21"/>
      <c r="AS94" s="55">
        <v>312</v>
      </c>
      <c r="AT94" s="26"/>
      <c r="AU94" s="49"/>
      <c r="AV94" s="136"/>
      <c r="AW94" s="137"/>
    </row>
    <row r="95" spans="1:49" ht="19.399999999999999" customHeight="1">
      <c r="A95" s="18" t="s">
        <v>134</v>
      </c>
      <c r="B95" s="18" t="s">
        <v>417</v>
      </c>
      <c r="C95" s="19" t="s">
        <v>127</v>
      </c>
      <c r="D95" s="19" t="s">
        <v>127</v>
      </c>
      <c r="E95" s="19" t="s">
        <v>419</v>
      </c>
      <c r="F95" s="58">
        <v>8</v>
      </c>
      <c r="G95" s="43">
        <v>22</v>
      </c>
      <c r="H95" s="44">
        <v>58.4</v>
      </c>
      <c r="I95" s="44" t="s">
        <v>38</v>
      </c>
      <c r="J95" s="43">
        <v>120</v>
      </c>
      <c r="K95" s="44">
        <v>10.4</v>
      </c>
      <c r="L95" s="44" t="s">
        <v>122</v>
      </c>
      <c r="M95" s="43" t="s">
        <v>115</v>
      </c>
      <c r="N95" s="45">
        <v>10</v>
      </c>
      <c r="O95" s="45">
        <v>4</v>
      </c>
      <c r="P95" s="45">
        <v>3</v>
      </c>
      <c r="Q95" s="45">
        <v>1</v>
      </c>
      <c r="R95" s="46">
        <v>3.95</v>
      </c>
      <c r="S95" s="46">
        <v>4.25</v>
      </c>
      <c r="T95" s="46">
        <v>286</v>
      </c>
      <c r="U95" s="47">
        <v>3014</v>
      </c>
      <c r="V95" s="23">
        <v>24</v>
      </c>
      <c r="W95" s="38">
        <v>7.2</v>
      </c>
      <c r="X95" s="38">
        <v>1</v>
      </c>
      <c r="Y95" s="38">
        <v>15.8</v>
      </c>
      <c r="Z95" s="38">
        <v>0</v>
      </c>
      <c r="AA95" s="44">
        <v>63.9</v>
      </c>
      <c r="AB95" s="44">
        <v>2.7</v>
      </c>
      <c r="AC95" s="52" t="s">
        <v>119</v>
      </c>
      <c r="AD95" s="19">
        <v>231</v>
      </c>
      <c r="AE95" s="40"/>
      <c r="AF95" s="25">
        <v>0</v>
      </c>
      <c r="AG95" s="19">
        <v>0</v>
      </c>
      <c r="AH95" s="38">
        <v>1.5</v>
      </c>
      <c r="AI95" s="38">
        <v>0</v>
      </c>
      <c r="AJ95" s="21">
        <v>0.8</v>
      </c>
      <c r="AK95" s="21">
        <v>0</v>
      </c>
      <c r="AL95" s="24">
        <f t="shared" si="0"/>
        <v>2.2999999999999998</v>
      </c>
      <c r="AM95" s="12"/>
      <c r="AN95" s="12"/>
      <c r="AO95" s="12"/>
      <c r="AP95" s="12"/>
      <c r="AQ95" s="55">
        <f t="shared" si="4"/>
        <v>241.60000000000008</v>
      </c>
      <c r="AR95" s="21"/>
      <c r="AS95" s="12">
        <v>302</v>
      </c>
      <c r="AT95" s="26"/>
      <c r="AU95" s="49"/>
      <c r="AV95" s="136"/>
      <c r="AW95" s="137"/>
    </row>
    <row r="96" spans="1:49" ht="19.399999999999999" customHeight="1">
      <c r="A96" s="18" t="s">
        <v>134</v>
      </c>
      <c r="B96" s="18" t="s">
        <v>417</v>
      </c>
      <c r="C96" s="19" t="s">
        <v>127</v>
      </c>
      <c r="D96" s="19" t="s">
        <v>127</v>
      </c>
      <c r="E96" s="19" t="s">
        <v>420</v>
      </c>
      <c r="F96" s="58">
        <v>8</v>
      </c>
      <c r="G96" s="43">
        <v>22</v>
      </c>
      <c r="H96" s="44">
        <v>58.4</v>
      </c>
      <c r="I96" s="44" t="s">
        <v>38</v>
      </c>
      <c r="J96" s="43">
        <v>120</v>
      </c>
      <c r="K96" s="44">
        <v>10.4</v>
      </c>
      <c r="L96" s="44" t="s">
        <v>122</v>
      </c>
      <c r="M96" s="43" t="s">
        <v>421</v>
      </c>
      <c r="N96" s="45">
        <v>12</v>
      </c>
      <c r="O96" s="45">
        <v>3</v>
      </c>
      <c r="P96" s="45">
        <v>2</v>
      </c>
      <c r="Q96" s="45">
        <v>1</v>
      </c>
      <c r="R96" s="46">
        <v>3.95</v>
      </c>
      <c r="S96" s="46">
        <v>4.25</v>
      </c>
      <c r="T96" s="46">
        <v>286</v>
      </c>
      <c r="U96" s="47">
        <v>3014</v>
      </c>
      <c r="V96" s="23">
        <v>24</v>
      </c>
      <c r="W96" s="38">
        <v>0</v>
      </c>
      <c r="X96" s="38">
        <v>0</v>
      </c>
      <c r="Y96" s="38">
        <v>24</v>
      </c>
      <c r="Z96" s="38">
        <v>0</v>
      </c>
      <c r="AA96" s="44">
        <v>0</v>
      </c>
      <c r="AB96" s="44">
        <v>0</v>
      </c>
      <c r="AC96" s="52" t="s">
        <v>119</v>
      </c>
      <c r="AD96" s="19">
        <v>215</v>
      </c>
      <c r="AE96" s="40"/>
      <c r="AF96" s="25">
        <v>0</v>
      </c>
      <c r="AG96" s="19">
        <v>0</v>
      </c>
      <c r="AH96" s="38">
        <v>0</v>
      </c>
      <c r="AI96" s="38">
        <v>0</v>
      </c>
      <c r="AJ96" s="21">
        <v>1</v>
      </c>
      <c r="AK96" s="21">
        <v>0</v>
      </c>
      <c r="AL96" s="24">
        <f t="shared" si="0"/>
        <v>1</v>
      </c>
      <c r="AM96" s="12"/>
      <c r="AN96" s="12"/>
      <c r="AO96" s="12"/>
      <c r="AP96" s="12"/>
      <c r="AQ96" s="55">
        <f t="shared" si="4"/>
        <v>240.60000000000008</v>
      </c>
      <c r="AR96" s="21"/>
      <c r="AS96" s="12">
        <v>298</v>
      </c>
      <c r="AT96" s="26"/>
      <c r="AU96" s="49"/>
      <c r="AV96" s="142"/>
      <c r="AW96" s="137"/>
    </row>
    <row r="97" spans="1:49" ht="19.399999999999999" customHeight="1">
      <c r="A97" s="18" t="s">
        <v>134</v>
      </c>
      <c r="B97" s="18" t="s">
        <v>417</v>
      </c>
      <c r="C97" s="19" t="s">
        <v>127</v>
      </c>
      <c r="D97" s="19" t="s">
        <v>127</v>
      </c>
      <c r="E97" s="19" t="s">
        <v>425</v>
      </c>
      <c r="F97" s="58">
        <v>8</v>
      </c>
      <c r="G97" s="43">
        <v>22</v>
      </c>
      <c r="H97" s="44">
        <v>58.4</v>
      </c>
      <c r="I97" s="44" t="s">
        <v>38</v>
      </c>
      <c r="J97" s="43">
        <v>120</v>
      </c>
      <c r="K97" s="44">
        <v>10.4</v>
      </c>
      <c r="L97" s="44" t="s">
        <v>122</v>
      </c>
      <c r="M97" s="43" t="s">
        <v>424</v>
      </c>
      <c r="N97" s="45">
        <v>12</v>
      </c>
      <c r="O97" s="45">
        <v>4</v>
      </c>
      <c r="P97" s="45">
        <v>3</v>
      </c>
      <c r="Q97" s="45">
        <v>1</v>
      </c>
      <c r="R97" s="46">
        <v>3.95</v>
      </c>
      <c r="S97" s="46">
        <v>4.25</v>
      </c>
      <c r="T97" s="46">
        <v>286</v>
      </c>
      <c r="U97" s="47">
        <v>3014</v>
      </c>
      <c r="V97" s="23">
        <v>24</v>
      </c>
      <c r="W97" s="38">
        <v>0</v>
      </c>
      <c r="X97" s="38">
        <v>0</v>
      </c>
      <c r="Y97" s="38">
        <v>24</v>
      </c>
      <c r="Z97" s="38">
        <v>0</v>
      </c>
      <c r="AA97" s="44">
        <v>0</v>
      </c>
      <c r="AB97" s="44">
        <v>0</v>
      </c>
      <c r="AC97" s="52" t="s">
        <v>131</v>
      </c>
      <c r="AD97" s="40" t="s">
        <v>422</v>
      </c>
      <c r="AE97" s="40"/>
      <c r="AF97" s="41" t="s">
        <v>423</v>
      </c>
      <c r="AG97" s="40" t="s">
        <v>129</v>
      </c>
      <c r="AH97" s="38">
        <v>0</v>
      </c>
      <c r="AI97" s="38">
        <v>0</v>
      </c>
      <c r="AJ97" s="38">
        <v>1.1000000000000001</v>
      </c>
      <c r="AK97" s="38">
        <v>0</v>
      </c>
      <c r="AL97" s="54">
        <f t="shared" si="0"/>
        <v>1.1000000000000001</v>
      </c>
      <c r="AM97" s="12"/>
      <c r="AN97" s="12"/>
      <c r="AO97" s="12"/>
      <c r="AP97" s="12"/>
      <c r="AQ97" s="55">
        <f t="shared" si="4"/>
        <v>239.50000000000009</v>
      </c>
      <c r="AR97" s="21"/>
      <c r="AS97" s="12">
        <v>295</v>
      </c>
      <c r="AT97" s="26"/>
      <c r="AU97" s="49"/>
      <c r="AV97" s="142"/>
      <c r="AW97" s="137"/>
    </row>
    <row r="98" spans="1:49" ht="19.399999999999999" customHeight="1">
      <c r="A98" s="18" t="s">
        <v>134</v>
      </c>
      <c r="B98" s="18" t="s">
        <v>417</v>
      </c>
      <c r="C98" s="19" t="s">
        <v>127</v>
      </c>
      <c r="D98" s="19" t="s">
        <v>127</v>
      </c>
      <c r="E98" s="19" t="s">
        <v>427</v>
      </c>
      <c r="F98" s="58">
        <v>8</v>
      </c>
      <c r="G98" s="43">
        <v>22</v>
      </c>
      <c r="H98" s="44">
        <v>45.6</v>
      </c>
      <c r="I98" s="44" t="s">
        <v>38</v>
      </c>
      <c r="J98" s="43">
        <v>119</v>
      </c>
      <c r="K98" s="44">
        <v>56.7</v>
      </c>
      <c r="L98" s="44" t="s">
        <v>122</v>
      </c>
      <c r="M98" s="43" t="s">
        <v>115</v>
      </c>
      <c r="N98" s="45">
        <v>11</v>
      </c>
      <c r="O98" s="45">
        <v>5</v>
      </c>
      <c r="P98" s="45">
        <v>3</v>
      </c>
      <c r="Q98" s="45">
        <v>2</v>
      </c>
      <c r="R98" s="46">
        <v>3.95</v>
      </c>
      <c r="S98" s="46">
        <v>4.25</v>
      </c>
      <c r="T98" s="46">
        <v>286</v>
      </c>
      <c r="U98" s="47">
        <v>3014</v>
      </c>
      <c r="V98" s="23">
        <v>24</v>
      </c>
      <c r="W98" s="38">
        <v>2.4</v>
      </c>
      <c r="X98" s="38">
        <v>0.5</v>
      </c>
      <c r="Y98" s="38">
        <v>21.1</v>
      </c>
      <c r="Z98" s="38">
        <v>0</v>
      </c>
      <c r="AA98" s="44">
        <v>17.8</v>
      </c>
      <c r="AB98" s="44">
        <v>0.7</v>
      </c>
      <c r="AC98" s="52" t="s">
        <v>131</v>
      </c>
      <c r="AD98" s="40" t="s">
        <v>426</v>
      </c>
      <c r="AE98" s="40"/>
      <c r="AF98" s="41" t="s">
        <v>343</v>
      </c>
      <c r="AG98" s="40" t="s">
        <v>167</v>
      </c>
      <c r="AH98" s="38">
        <v>0.4</v>
      </c>
      <c r="AI98" s="38">
        <v>0.1</v>
      </c>
      <c r="AJ98" s="38">
        <v>0.9</v>
      </c>
      <c r="AK98" s="38">
        <v>0</v>
      </c>
      <c r="AL98" s="54">
        <f t="shared" si="0"/>
        <v>1.4</v>
      </c>
      <c r="AM98" s="12"/>
      <c r="AN98" s="12"/>
      <c r="AO98" s="12"/>
      <c r="AP98" s="12"/>
      <c r="AQ98" s="55">
        <f t="shared" si="4"/>
        <v>238.10000000000008</v>
      </c>
      <c r="AR98" s="21"/>
      <c r="AS98" s="12">
        <v>289</v>
      </c>
      <c r="AT98" s="26"/>
      <c r="AU98" s="49"/>
      <c r="AV98" s="142"/>
      <c r="AW98" s="137"/>
    </row>
    <row r="99" spans="1:49" ht="19.399999999999999" customHeight="1">
      <c r="A99" s="18" t="s">
        <v>134</v>
      </c>
      <c r="B99" s="18" t="s">
        <v>417</v>
      </c>
      <c r="C99" s="19" t="s">
        <v>127</v>
      </c>
      <c r="D99" s="19" t="s">
        <v>127</v>
      </c>
      <c r="E99" s="19" t="s">
        <v>430</v>
      </c>
      <c r="F99" s="58">
        <v>8</v>
      </c>
      <c r="G99" s="43">
        <v>20</v>
      </c>
      <c r="H99" s="44">
        <v>45.7</v>
      </c>
      <c r="I99" s="44" t="s">
        <v>38</v>
      </c>
      <c r="J99" s="43">
        <v>118</v>
      </c>
      <c r="K99" s="44">
        <v>16.3</v>
      </c>
      <c r="L99" s="44" t="s">
        <v>122</v>
      </c>
      <c r="M99" s="43" t="s">
        <v>115</v>
      </c>
      <c r="N99" s="45">
        <v>11</v>
      </c>
      <c r="O99" s="45">
        <v>5</v>
      </c>
      <c r="P99" s="45">
        <v>3</v>
      </c>
      <c r="Q99" s="45">
        <v>2</v>
      </c>
      <c r="R99" s="46">
        <v>3.95</v>
      </c>
      <c r="S99" s="46">
        <v>4.25</v>
      </c>
      <c r="T99" s="46">
        <v>286</v>
      </c>
      <c r="U99" s="47">
        <v>3014</v>
      </c>
      <c r="V99" s="23">
        <v>24</v>
      </c>
      <c r="W99" s="38">
        <v>24</v>
      </c>
      <c r="X99" s="38">
        <v>0</v>
      </c>
      <c r="Y99" s="38">
        <v>0</v>
      </c>
      <c r="Z99" s="38">
        <v>0</v>
      </c>
      <c r="AA99" s="44">
        <v>151.5</v>
      </c>
      <c r="AB99" s="44">
        <v>6.3</v>
      </c>
      <c r="AC99" s="52" t="s">
        <v>131</v>
      </c>
      <c r="AD99" s="19" t="s">
        <v>428</v>
      </c>
      <c r="AE99" s="40"/>
      <c r="AF99" s="25" t="s">
        <v>343</v>
      </c>
      <c r="AG99" s="19" t="s">
        <v>429</v>
      </c>
      <c r="AH99" s="12">
        <v>5.2</v>
      </c>
      <c r="AI99" s="21">
        <v>0</v>
      </c>
      <c r="AJ99" s="21">
        <v>0</v>
      </c>
      <c r="AK99" s="21">
        <v>0</v>
      </c>
      <c r="AL99" s="24">
        <f t="shared" si="0"/>
        <v>5.2</v>
      </c>
      <c r="AM99" s="12"/>
      <c r="AN99" s="12"/>
      <c r="AO99" s="12"/>
      <c r="AP99" s="12"/>
      <c r="AQ99" s="55">
        <f t="shared" si="4"/>
        <v>232.90000000000009</v>
      </c>
      <c r="AR99" s="21"/>
      <c r="AS99" s="12">
        <v>281</v>
      </c>
      <c r="AT99" s="26"/>
      <c r="AU99" s="49"/>
      <c r="AV99" s="136"/>
      <c r="AW99" s="137"/>
    </row>
    <row r="100" spans="1:49" ht="19.399999999999999" customHeight="1">
      <c r="A100" s="18" t="s">
        <v>134</v>
      </c>
      <c r="B100" s="18" t="s">
        <v>417</v>
      </c>
      <c r="C100" s="19" t="s">
        <v>127</v>
      </c>
      <c r="D100" s="19" t="s">
        <v>127</v>
      </c>
      <c r="E100" s="19" t="s">
        <v>433</v>
      </c>
      <c r="F100" s="58">
        <v>8</v>
      </c>
      <c r="G100" s="43">
        <v>18</v>
      </c>
      <c r="H100" s="44">
        <v>38.700000000000003</v>
      </c>
      <c r="I100" s="44" t="s">
        <v>38</v>
      </c>
      <c r="J100" s="43">
        <v>116</v>
      </c>
      <c r="K100" s="44">
        <v>31.7</v>
      </c>
      <c r="L100" s="44" t="s">
        <v>122</v>
      </c>
      <c r="M100" s="43" t="s">
        <v>115</v>
      </c>
      <c r="N100" s="45">
        <v>10</v>
      </c>
      <c r="O100" s="45">
        <v>4</v>
      </c>
      <c r="P100" s="45">
        <v>3</v>
      </c>
      <c r="Q100" s="45">
        <v>2</v>
      </c>
      <c r="R100" s="46">
        <v>3.95</v>
      </c>
      <c r="S100" s="46">
        <v>4.25</v>
      </c>
      <c r="T100" s="46">
        <v>286</v>
      </c>
      <c r="U100" s="47">
        <v>3014</v>
      </c>
      <c r="V100" s="23">
        <v>24</v>
      </c>
      <c r="W100" s="38">
        <v>24</v>
      </c>
      <c r="X100" s="38">
        <v>0</v>
      </c>
      <c r="Y100" s="38">
        <v>0</v>
      </c>
      <c r="Z100" s="38">
        <v>0</v>
      </c>
      <c r="AA100" s="44">
        <v>161.1</v>
      </c>
      <c r="AB100" s="44">
        <v>6.7</v>
      </c>
      <c r="AC100" s="52" t="s">
        <v>131</v>
      </c>
      <c r="AD100" s="19" t="s">
        <v>431</v>
      </c>
      <c r="AE100" s="48"/>
      <c r="AF100" s="40" t="s">
        <v>432</v>
      </c>
      <c r="AG100" s="19" t="s">
        <v>135</v>
      </c>
      <c r="AH100" s="21">
        <v>5.3</v>
      </c>
      <c r="AI100" s="21">
        <v>0</v>
      </c>
      <c r="AJ100" s="21">
        <v>0</v>
      </c>
      <c r="AK100" s="21">
        <v>0</v>
      </c>
      <c r="AL100" s="24">
        <f t="shared" si="0"/>
        <v>5.3</v>
      </c>
      <c r="AM100" s="12"/>
      <c r="AN100" s="12"/>
      <c r="AO100" s="12"/>
      <c r="AP100" s="12"/>
      <c r="AQ100" s="55">
        <f t="shared" si="4"/>
        <v>227.60000000000008</v>
      </c>
      <c r="AR100" s="21"/>
      <c r="AS100" s="12">
        <v>274</v>
      </c>
      <c r="AT100" s="26"/>
      <c r="AU100" s="49"/>
      <c r="AV100" s="136"/>
      <c r="AW100" s="137"/>
    </row>
    <row r="101" spans="1:49" customFormat="1">
      <c r="A101" s="7"/>
      <c r="B101" s="7"/>
      <c r="C101" s="7"/>
      <c r="D101" s="7"/>
      <c r="E101" s="8"/>
      <c r="F101" s="8"/>
      <c r="G101" s="10"/>
      <c r="H101" s="9"/>
      <c r="I101" s="9"/>
      <c r="J101" s="10"/>
      <c r="K101" s="9"/>
      <c r="L101" s="9"/>
      <c r="M101" s="9"/>
      <c r="N101" s="9"/>
      <c r="O101" s="9"/>
      <c r="P101" s="9"/>
      <c r="Q101" s="9"/>
      <c r="R101" s="7"/>
      <c r="S101" s="7"/>
      <c r="T101" s="7"/>
      <c r="U101" s="7"/>
      <c r="V101" s="7"/>
      <c r="W101" s="7"/>
      <c r="X101" s="7"/>
      <c r="Y101" s="7"/>
      <c r="Z101" s="7"/>
      <c r="AA101" s="9"/>
      <c r="AB101" s="9"/>
      <c r="AC101" s="9"/>
      <c r="AD101" s="10"/>
      <c r="AE101" s="10"/>
      <c r="AF101" s="10"/>
      <c r="AG101" s="10"/>
      <c r="AH101" s="11"/>
      <c r="AI101" s="11"/>
      <c r="AJ101" s="11"/>
      <c r="AK101" s="11"/>
      <c r="AL101" s="11"/>
      <c r="AM101" s="11"/>
      <c r="AN101" s="11"/>
      <c r="AO101" s="11"/>
      <c r="AP101" s="11"/>
      <c r="AQ101" s="16"/>
      <c r="AR101" s="16"/>
      <c r="AS101" s="16"/>
      <c r="AT101" s="17"/>
      <c r="AU101" s="50"/>
      <c r="AV101" s="17"/>
      <c r="AW101" s="7"/>
    </row>
    <row r="102" spans="1:49" s="7" customFormat="1">
      <c r="E102" s="8"/>
      <c r="F102" s="8"/>
      <c r="G102" s="10"/>
      <c r="H102" s="9"/>
      <c r="I102" s="9"/>
      <c r="J102" s="10"/>
      <c r="K102" s="9"/>
      <c r="L102" s="9"/>
      <c r="M102" s="9"/>
      <c r="N102" s="9"/>
      <c r="O102" s="9"/>
      <c r="P102" s="9"/>
      <c r="Q102" s="9"/>
      <c r="AA102" s="9"/>
      <c r="AB102" s="9"/>
      <c r="AC102" s="9"/>
      <c r="AD102" s="10"/>
      <c r="AE102" s="10"/>
      <c r="AF102" s="10"/>
      <c r="AG102" s="10"/>
      <c r="AH102" s="11"/>
      <c r="AI102" s="11"/>
      <c r="AJ102" s="11"/>
      <c r="AK102" s="11"/>
      <c r="AL102" s="11"/>
      <c r="AM102" s="11"/>
      <c r="AN102" s="11"/>
      <c r="AO102" s="11"/>
      <c r="AP102" s="11"/>
      <c r="AQ102" s="16"/>
      <c r="AR102" s="16"/>
      <c r="AS102" s="16"/>
      <c r="AT102" s="17"/>
      <c r="AU102" s="50"/>
      <c r="AV102" s="17"/>
    </row>
    <row r="103" spans="1:49" s="7" customFormat="1">
      <c r="E103" s="8"/>
      <c r="F103" s="8"/>
      <c r="G103" s="10"/>
      <c r="H103" s="9"/>
      <c r="I103" s="9"/>
      <c r="J103" s="10"/>
      <c r="K103" s="9"/>
      <c r="L103" s="9"/>
      <c r="M103" s="9"/>
      <c r="N103" s="9"/>
      <c r="O103" s="9"/>
      <c r="P103" s="9"/>
      <c r="Q103" s="9"/>
      <c r="AA103" s="9"/>
      <c r="AB103" s="9"/>
      <c r="AC103" s="9"/>
      <c r="AD103" s="10"/>
      <c r="AE103" s="10"/>
      <c r="AF103" s="10"/>
      <c r="AG103" s="10"/>
      <c r="AH103" s="11"/>
      <c r="AI103" s="11"/>
      <c r="AJ103" s="11"/>
      <c r="AK103" s="11"/>
      <c r="AL103" s="11"/>
      <c r="AM103" s="11"/>
      <c r="AN103" s="11"/>
      <c r="AO103" s="11"/>
      <c r="AP103" s="11"/>
      <c r="AQ103" s="16"/>
      <c r="AR103" s="16"/>
      <c r="AS103" s="16"/>
      <c r="AT103" s="17"/>
      <c r="AU103" s="50"/>
      <c r="AV103" s="17"/>
    </row>
    <row r="104" spans="1:49" s="7" customFormat="1">
      <c r="E104" s="8"/>
      <c r="F104" s="8"/>
      <c r="G104" s="10"/>
      <c r="H104" s="9"/>
      <c r="I104" s="9"/>
      <c r="J104" s="10"/>
      <c r="K104" s="9"/>
      <c r="L104" s="9"/>
      <c r="M104" s="9"/>
      <c r="N104" s="9"/>
      <c r="O104" s="9"/>
      <c r="P104" s="9"/>
      <c r="Q104" s="9"/>
      <c r="AA104" s="9"/>
      <c r="AB104" s="9"/>
      <c r="AC104" s="5"/>
      <c r="AD104" s="10"/>
      <c r="AE104" s="10"/>
      <c r="AF104" s="10"/>
      <c r="AG104" s="10"/>
      <c r="AH104" s="11"/>
      <c r="AI104" s="11"/>
      <c r="AJ104" s="11"/>
      <c r="AK104" s="11"/>
      <c r="AL104" s="11"/>
      <c r="AM104" s="11"/>
      <c r="AN104" s="11"/>
      <c r="AO104" s="11"/>
      <c r="AP104" s="11"/>
      <c r="AQ104" s="16"/>
      <c r="AR104" s="16"/>
      <c r="AS104" s="16"/>
      <c r="AT104" s="17"/>
      <c r="AU104" s="50"/>
      <c r="AV104" s="17"/>
    </row>
    <row r="105" spans="1:49" s="7" customFormat="1">
      <c r="E105" s="8"/>
      <c r="F105" s="8"/>
      <c r="G105" s="10"/>
      <c r="H105" s="9"/>
      <c r="I105" s="9"/>
      <c r="J105" s="10"/>
      <c r="K105" s="9"/>
      <c r="L105" s="9"/>
      <c r="M105" s="9"/>
      <c r="N105" s="9"/>
      <c r="O105" s="9"/>
      <c r="P105" s="9"/>
      <c r="Q105" s="5"/>
      <c r="W105" s="1"/>
      <c r="X105" s="1"/>
      <c r="Y105" s="1"/>
      <c r="Z105" s="1"/>
      <c r="AA105" s="5"/>
      <c r="AB105" s="5"/>
      <c r="AC105" s="5"/>
      <c r="AD105" s="6"/>
      <c r="AE105" s="6"/>
      <c r="AF105" s="6"/>
      <c r="AG105" s="6"/>
      <c r="AH105" s="2"/>
      <c r="AI105" s="2"/>
      <c r="AJ105" s="2"/>
      <c r="AK105" s="2"/>
      <c r="AL105" s="2"/>
      <c r="AM105" s="2"/>
      <c r="AN105" s="2"/>
      <c r="AO105" s="2"/>
      <c r="AP105" s="2"/>
      <c r="AQ105" s="14"/>
      <c r="AR105" s="14"/>
      <c r="AS105" s="14"/>
      <c r="AT105" s="17"/>
      <c r="AU105" s="50"/>
      <c r="AV105" s="17"/>
    </row>
    <row r="106" spans="1:49" s="7" customFormat="1">
      <c r="A106" s="1"/>
      <c r="B106" s="1"/>
      <c r="C106" s="1"/>
      <c r="D106" s="1"/>
      <c r="E106" s="3"/>
      <c r="F106" s="3"/>
      <c r="G106" s="6"/>
      <c r="H106" s="5"/>
      <c r="I106" s="5"/>
      <c r="J106" s="6"/>
      <c r="K106" s="5"/>
      <c r="L106" s="5"/>
      <c r="M106" s="5"/>
      <c r="N106" s="5"/>
      <c r="O106" s="5"/>
      <c r="P106" s="5"/>
      <c r="Q106" s="5"/>
      <c r="R106" s="1"/>
      <c r="S106" s="1"/>
      <c r="T106" s="1"/>
      <c r="U106" s="1"/>
      <c r="V106" s="1"/>
      <c r="W106" s="1"/>
      <c r="X106" s="1"/>
      <c r="Y106" s="1"/>
      <c r="Z106" s="1"/>
      <c r="AA106" s="5"/>
      <c r="AB106" s="5"/>
      <c r="AC106" s="5"/>
      <c r="AD106" s="6"/>
      <c r="AE106" s="6"/>
      <c r="AF106" s="6"/>
      <c r="AG106" s="6"/>
      <c r="AH106" s="2"/>
      <c r="AI106" s="2"/>
      <c r="AJ106" s="2"/>
      <c r="AK106" s="2"/>
      <c r="AL106" s="2"/>
      <c r="AM106" s="2"/>
      <c r="AN106" s="2"/>
      <c r="AO106" s="2"/>
      <c r="AP106" s="2"/>
      <c r="AQ106" s="14"/>
      <c r="AR106" s="14"/>
      <c r="AS106" s="14"/>
      <c r="AT106" s="15"/>
      <c r="AU106" s="51"/>
      <c r="AV106" s="15"/>
      <c r="AW106" s="1"/>
    </row>
    <row r="1048574" spans="43:43">
      <c r="AQ1048574" s="12">
        <f>AQ1048573-AL1048574</f>
        <v>0</v>
      </c>
    </row>
  </sheetData>
  <mergeCells count="149">
    <mergeCell ref="AV95:AW95"/>
    <mergeCell ref="AV96:AW96"/>
    <mergeCell ref="AV97:AW97"/>
    <mergeCell ref="AV98:AW98"/>
    <mergeCell ref="AV99:AW99"/>
    <mergeCell ref="AV100:AW100"/>
    <mergeCell ref="AV89:AW89"/>
    <mergeCell ref="AV90:AW90"/>
    <mergeCell ref="AV91:AW91"/>
    <mergeCell ref="AV92:AW92"/>
    <mergeCell ref="AV93:AW93"/>
    <mergeCell ref="AV94:AW94"/>
    <mergeCell ref="AV83:AW83"/>
    <mergeCell ref="AV84:AW84"/>
    <mergeCell ref="AV85:AW85"/>
    <mergeCell ref="AV86:AW86"/>
    <mergeCell ref="AV87:AW87"/>
    <mergeCell ref="AV88:AW88"/>
    <mergeCell ref="AV77:AW77"/>
    <mergeCell ref="AV78:AW78"/>
    <mergeCell ref="AV79:AW79"/>
    <mergeCell ref="AV80:AW80"/>
    <mergeCell ref="AV81:AW81"/>
    <mergeCell ref="AV82:AW82"/>
    <mergeCell ref="AV71:AW71"/>
    <mergeCell ref="AV72:AW72"/>
    <mergeCell ref="AV73:AW73"/>
    <mergeCell ref="AV74:AW74"/>
    <mergeCell ref="AV75:AW75"/>
    <mergeCell ref="AV76:AW76"/>
    <mergeCell ref="AV65:AW65"/>
    <mergeCell ref="AV66:AW66"/>
    <mergeCell ref="AV67:AW67"/>
    <mergeCell ref="AV68:AW68"/>
    <mergeCell ref="AV69:AW69"/>
    <mergeCell ref="AV70:AW70"/>
    <mergeCell ref="AV59:AW59"/>
    <mergeCell ref="AV60:AW60"/>
    <mergeCell ref="AV61:AW61"/>
    <mergeCell ref="AV62:AW62"/>
    <mergeCell ref="AV63:AW63"/>
    <mergeCell ref="AV64:AW64"/>
    <mergeCell ref="AV53:AW53"/>
    <mergeCell ref="AV54:AW54"/>
    <mergeCell ref="AV55:AW55"/>
    <mergeCell ref="AV56:AW56"/>
    <mergeCell ref="AV57:AW57"/>
    <mergeCell ref="AV58:AW58"/>
    <mergeCell ref="AV47:AW47"/>
    <mergeCell ref="AV48:AW48"/>
    <mergeCell ref="AV49:AW49"/>
    <mergeCell ref="AV50:AW50"/>
    <mergeCell ref="AV51:AW51"/>
    <mergeCell ref="AV52:AW52"/>
    <mergeCell ref="AV41:AW41"/>
    <mergeCell ref="AV42:AW42"/>
    <mergeCell ref="AV43:AW43"/>
    <mergeCell ref="AV44:AW44"/>
    <mergeCell ref="AV45:AW45"/>
    <mergeCell ref="AV46:AW46"/>
    <mergeCell ref="AV35:AW35"/>
    <mergeCell ref="AV36:AW36"/>
    <mergeCell ref="AV37:AW37"/>
    <mergeCell ref="AV38:AW38"/>
    <mergeCell ref="AV39:AW39"/>
    <mergeCell ref="AV40:AW40"/>
    <mergeCell ref="AV29:AW29"/>
    <mergeCell ref="AV30:AW30"/>
    <mergeCell ref="AV31:AW31"/>
    <mergeCell ref="AV32:AW32"/>
    <mergeCell ref="AV33:AW33"/>
    <mergeCell ref="AV34:AW34"/>
    <mergeCell ref="AV23:AW23"/>
    <mergeCell ref="AV24:AW24"/>
    <mergeCell ref="AV25:AW25"/>
    <mergeCell ref="AV26:AW26"/>
    <mergeCell ref="AV27:AW27"/>
    <mergeCell ref="AV28:AW28"/>
    <mergeCell ref="AV17:AW17"/>
    <mergeCell ref="AV18:AW18"/>
    <mergeCell ref="AV19:AW19"/>
    <mergeCell ref="AV20:AW20"/>
    <mergeCell ref="AV21:AW21"/>
    <mergeCell ref="AV22:AW22"/>
    <mergeCell ref="AV11:AW11"/>
    <mergeCell ref="AV12:AW12"/>
    <mergeCell ref="AV13:AW13"/>
    <mergeCell ref="AV14:AW14"/>
    <mergeCell ref="AV15:AW15"/>
    <mergeCell ref="AV16:AW16"/>
    <mergeCell ref="AV5:AW5"/>
    <mergeCell ref="AV6:AW6"/>
    <mergeCell ref="AV7:AW7"/>
    <mergeCell ref="AV8:AW8"/>
    <mergeCell ref="AV9:AW9"/>
    <mergeCell ref="AV10:AW10"/>
    <mergeCell ref="AN3:AN4"/>
    <mergeCell ref="AO3:AO4"/>
    <mergeCell ref="AP3:AP4"/>
    <mergeCell ref="AD3:AD4"/>
    <mergeCell ref="AE3:AE4"/>
    <mergeCell ref="AF3:AF4"/>
    <mergeCell ref="AG3:AG4"/>
    <mergeCell ref="AH3:AH4"/>
    <mergeCell ref="AI3:AI4"/>
    <mergeCell ref="AL2:AL4"/>
    <mergeCell ref="AM2:AP2"/>
    <mergeCell ref="G3:I3"/>
    <mergeCell ref="J3:L3"/>
    <mergeCell ref="M3:M4"/>
    <mergeCell ref="N3:N4"/>
    <mergeCell ref="O3:O4"/>
    <mergeCell ref="P3:P4"/>
    <mergeCell ref="AJ3:AJ4"/>
    <mergeCell ref="AK3:AK4"/>
    <mergeCell ref="AM3:AM4"/>
    <mergeCell ref="Z3:Z4"/>
    <mergeCell ref="AA3:AA4"/>
    <mergeCell ref="AC3:AC4"/>
    <mergeCell ref="Q3:Q4"/>
    <mergeCell ref="R3:R4"/>
    <mergeCell ref="S3:S4"/>
    <mergeCell ref="V3:V4"/>
    <mergeCell ref="W3:W4"/>
    <mergeCell ref="X3:X4"/>
    <mergeCell ref="A1:AW1"/>
    <mergeCell ref="A2:A4"/>
    <mergeCell ref="B2:B4"/>
    <mergeCell ref="C2:C4"/>
    <mergeCell ref="D2:D4"/>
    <mergeCell ref="E2:E4"/>
    <mergeCell ref="F2:F4"/>
    <mergeCell ref="G2:L2"/>
    <mergeCell ref="M2:Q2"/>
    <mergeCell ref="R2:S2"/>
    <mergeCell ref="AQ2:AS2"/>
    <mergeCell ref="AT2:AT4"/>
    <mergeCell ref="AU2:AU4"/>
    <mergeCell ref="AV2:AW4"/>
    <mergeCell ref="AQ3:AQ4"/>
    <mergeCell ref="AR3:AR4"/>
    <mergeCell ref="AS3:AS4"/>
    <mergeCell ref="T2:T4"/>
    <mergeCell ref="U2:U4"/>
    <mergeCell ref="V2:Z2"/>
    <mergeCell ref="AB2:AB4"/>
    <mergeCell ref="AC2:AG2"/>
    <mergeCell ref="AH2:AK2"/>
    <mergeCell ref="Y3:Y4"/>
  </mergeCells>
  <phoneticPr fontId="42" type="noConversion"/>
  <conditionalFormatting sqref="AM6:AM37 AQ6:AQ100">
    <cfRule type="containsText" dxfId="14" priority="25" operator="containsText" text="Pls check Quantity of each section">
      <formula>NOT(ISERROR(SEARCH("Pls check Quantity of each section",AM6)))</formula>
    </cfRule>
  </conditionalFormatting>
  <conditionalFormatting sqref="AM39:AM65 AM99:AM100 AM67 AM77:AM97">
    <cfRule type="containsText" dxfId="13" priority="26" operator="containsText" text="Pls check Quantity of each section">
      <formula>NOT(ISERROR(SEARCH("Pls check Quantity of each section",AM39)))</formula>
    </cfRule>
  </conditionalFormatting>
  <conditionalFormatting sqref="AM98">
    <cfRule type="containsText" dxfId="12" priority="24" operator="containsText" text="Pls check Quantity of each section">
      <formula>NOT(ISERROR(SEARCH("Pls check Quantity of each section",AM98)))</formula>
    </cfRule>
  </conditionalFormatting>
  <conditionalFormatting sqref="AM66">
    <cfRule type="containsText" dxfId="11" priority="23" operator="containsText" text="Pls check Quantity of each section">
      <formula>NOT(ISERROR(SEARCH("Pls check Quantity of each section",AM66)))</formula>
    </cfRule>
  </conditionalFormatting>
  <conditionalFormatting sqref="AM68">
    <cfRule type="containsText" dxfId="10" priority="20" operator="containsText" text="Pls check Quantity of each section">
      <formula>NOT(ISERROR(SEARCH("Pls check Quantity of each section",AM68)))</formula>
    </cfRule>
  </conditionalFormatting>
  <conditionalFormatting sqref="AM69">
    <cfRule type="containsText" dxfId="9" priority="18" operator="containsText" text="Pls check Quantity of each section">
      <formula>NOT(ISERROR(SEARCH("Pls check Quantity of each section",AM69)))</formula>
    </cfRule>
  </conditionalFormatting>
  <conditionalFormatting sqref="AM70">
    <cfRule type="containsText" dxfId="8" priority="16" operator="containsText" text="Pls check Quantity of each section">
      <formula>NOT(ISERROR(SEARCH("Pls check Quantity of each section",AM70)))</formula>
    </cfRule>
  </conditionalFormatting>
  <conditionalFormatting sqref="AM71">
    <cfRule type="containsText" dxfId="7" priority="14" operator="containsText" text="Pls check Quantity of each section">
      <formula>NOT(ISERROR(SEARCH("Pls check Quantity of each section",AM71)))</formula>
    </cfRule>
  </conditionalFormatting>
  <conditionalFormatting sqref="AM72">
    <cfRule type="containsText" dxfId="6" priority="12" operator="containsText" text="Pls check Quantity of each section">
      <formula>NOT(ISERROR(SEARCH("Pls check Quantity of each section",AM72)))</formula>
    </cfRule>
  </conditionalFormatting>
  <conditionalFormatting sqref="AM73">
    <cfRule type="containsText" dxfId="5" priority="10" operator="containsText" text="Pls check Quantity of each section">
      <formula>NOT(ISERROR(SEARCH("Pls check Quantity of each section",AM73)))</formula>
    </cfRule>
  </conditionalFormatting>
  <conditionalFormatting sqref="AM74">
    <cfRule type="containsText" dxfId="4" priority="8" operator="containsText" text="Pls check Quantity of each section">
      <formula>NOT(ISERROR(SEARCH("Pls check Quantity of each section",AM74)))</formula>
    </cfRule>
  </conditionalFormatting>
  <conditionalFormatting sqref="AM75">
    <cfRule type="containsText" dxfId="3" priority="6" operator="containsText" text="Pls check Quantity of each section">
      <formula>NOT(ISERROR(SEARCH("Pls check Quantity of each section",AM75)))</formula>
    </cfRule>
  </conditionalFormatting>
  <conditionalFormatting sqref="AM76">
    <cfRule type="containsText" dxfId="2" priority="4" operator="containsText" text="Pls check Quantity of each section">
      <formula>NOT(ISERROR(SEARCH("Pls check Quantity of each section",AM76)))</formula>
    </cfRule>
  </conditionalFormatting>
  <conditionalFormatting sqref="AM5">
    <cfRule type="containsText" dxfId="1" priority="2" operator="containsText" text="Pls check Quantity of each section">
      <formula>NOT(ISERROR(SEARCH("Pls check Quantity of each section",AM5)))</formula>
    </cfRule>
  </conditionalFormatting>
  <conditionalFormatting sqref="AQ5">
    <cfRule type="containsText" dxfId="0" priority="1" operator="containsText" text="Pls check Quantity of each section">
      <formula>NOT(ISERROR(SEARCH("Pls check Quantity of each section",AQ5)))</formula>
    </cfRule>
  </conditionalFormatting>
  <dataValidations count="15">
    <dataValidation type="list" operator="equal" allowBlank="1" showInputMessage="1" showErrorMessage="1" sqref="M5:M100" xr:uid="{00000000-0002-0000-0400-000000000000}">
      <formula1>"A,B,C,D,E,F,G,H,L,M,O,P,Q,R,S,T,U,V,W,X,Z"</formula1>
    </dataValidation>
    <dataValidation type="list" operator="equal" allowBlank="1" showInputMessage="1" showErrorMessage="1" sqref="L5:L100" xr:uid="{00000000-0002-0000-0400-000001000000}">
      <formula1>"E,W"</formula1>
    </dataValidation>
    <dataValidation type="list" operator="equal" allowBlank="1" showInputMessage="1" showErrorMessage="1" sqref="I5:I100" xr:uid="{00000000-0002-0000-0400-000002000000}">
      <formula1>"N,S"</formula1>
    </dataValidation>
    <dataValidation type="decimal" allowBlank="1" showInputMessage="1" showErrorMessage="1" sqref="F5:F100" xr:uid="{00000000-0002-0000-0400-000003000000}">
      <formula1>-11</formula1>
      <formula2>13</formula2>
    </dataValidation>
    <dataValidation type="decimal" allowBlank="1" showInputMessage="1" showErrorMessage="1" sqref="K5:K100 H5:H100" xr:uid="{00000000-0002-0000-0400-000004000000}">
      <formula1>0</formula1>
      <formula2>60</formula2>
    </dataValidation>
    <dataValidation type="whole" allowBlank="1" showInputMessage="1" showErrorMessage="1" sqref="G5:G100" xr:uid="{00000000-0002-0000-0400-000005000000}">
      <formula1>0</formula1>
      <formula2>90</formula2>
    </dataValidation>
    <dataValidation type="whole" allowBlank="1" showInputMessage="1" showErrorMessage="1" sqref="J5:J100" xr:uid="{00000000-0002-0000-0400-000006000000}">
      <formula1>0</formula1>
      <formula2>180</formula2>
    </dataValidation>
    <dataValidation type="list" allowBlank="1" showInputMessage="1" showErrorMessage="1" sqref="Q5:Q100" xr:uid="{00000000-0002-0000-0400-000007000000}">
      <formula1>"0,1,2,3,4,5,6,7,8"</formula1>
    </dataValidation>
    <dataValidation type="list" allowBlank="1" showInputMessage="1" showErrorMessage="1" sqref="P5:P100" xr:uid="{00000000-0002-0000-0400-000008000000}">
      <formula1>"0,1,2,3,4,5,6,7,8,9"</formula1>
    </dataValidation>
    <dataValidation type="list" allowBlank="1" showInputMessage="1" showErrorMessage="1" sqref="O5:O100" xr:uid="{00000000-0002-0000-0400-000009000000}">
      <formula1>"0,1,2,3,4,5,6,7,8,9,10,11,12,13,14,15,16,17"</formula1>
    </dataValidation>
    <dataValidation type="list" allowBlank="1" showInputMessage="1" showErrorMessage="1" sqref="N5:N100" xr:uid="{00000000-0002-0000-0400-00000A000000}">
      <formula1>"0,1,2,3,4,5,6,7,8,9,10,11,12,13,14,15"</formula1>
    </dataValidation>
    <dataValidation type="decimal" allowBlank="1" showInputMessage="1" showErrorMessage="1" sqref="AB5:AB100 S5:S100" xr:uid="{00000000-0002-0000-0400-00000B000000}">
      <formula1>0</formula1>
      <formula2>30</formula2>
    </dataValidation>
    <dataValidation type="decimal" allowBlank="1" showInputMessage="1" showErrorMessage="1" sqref="AA5:AA100" xr:uid="{00000000-0002-0000-0400-00000C000000}">
      <formula1>0</formula1>
      <formula2>625</formula2>
    </dataValidation>
    <dataValidation type="decimal" allowBlank="1" showInputMessage="1" showErrorMessage="1" sqref="AI28 AH26:AI27 AQ1048574:AQ1048576 AH29:AI36 AJ26:AJ37 AH97:AL100 AH5:AL5 AH37:AH77 AH78:AJ96 AH6:AK25 AI38:AJ77 AM5:AS100 AL11:AL96 AK26:AK96 U5:U100" xr:uid="{00000000-0002-0000-0400-00000D000000}">
      <formula1>0</formula1>
      <formula2>100000</formula2>
    </dataValidation>
    <dataValidation type="decimal" allowBlank="1" showInputMessage="1" showErrorMessage="1" sqref="V5:Z100" xr:uid="{00000000-0002-0000-0400-00000E000000}">
      <formula1>0</formula1>
      <formula2>25</formula2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3:J111"/>
  <sheetViews>
    <sheetView topLeftCell="A97" workbookViewId="0">
      <selection activeCell="E87" sqref="E87"/>
    </sheetView>
  </sheetViews>
  <sheetFormatPr defaultRowHeight="12.5"/>
  <cols>
    <col min="2" max="2" width="9.453125" style="31"/>
    <col min="3" max="3" width="34.453125" customWidth="1"/>
    <col min="4" max="4" width="28.54296875" customWidth="1"/>
    <col min="5" max="5" width="32.453125" customWidth="1"/>
    <col min="6" max="6" width="38.453125" customWidth="1"/>
    <col min="7" max="7" width="21.54296875" customWidth="1"/>
    <col min="8" max="8" width="15.54296875" customWidth="1"/>
  </cols>
  <sheetData>
    <row r="3" spans="2:10" ht="17">
      <c r="B3" s="30"/>
      <c r="C3" s="152" t="s">
        <v>40</v>
      </c>
      <c r="D3" s="152"/>
      <c r="E3" s="152"/>
      <c r="F3" s="27"/>
      <c r="G3" s="27"/>
      <c r="H3" s="27"/>
      <c r="I3" s="27"/>
      <c r="J3" s="27"/>
    </row>
    <row r="4" spans="2:10" ht="17">
      <c r="B4" s="32">
        <v>1</v>
      </c>
      <c r="C4" s="33" t="s">
        <v>41</v>
      </c>
      <c r="D4" s="27"/>
      <c r="E4" s="27"/>
      <c r="F4" s="27"/>
      <c r="G4" s="27"/>
      <c r="H4" s="27"/>
      <c r="I4" s="27"/>
      <c r="J4" s="27"/>
    </row>
    <row r="5" spans="2:10" ht="17">
      <c r="B5" s="30"/>
      <c r="C5" s="152" t="s">
        <v>42</v>
      </c>
      <c r="D5" s="152"/>
      <c r="E5" s="152"/>
      <c r="F5" s="152"/>
      <c r="G5" s="27"/>
      <c r="H5" s="27"/>
      <c r="I5" s="27"/>
      <c r="J5" s="27"/>
    </row>
    <row r="6" spans="2:10" ht="17">
      <c r="B6" s="32">
        <v>2</v>
      </c>
      <c r="C6" s="33" t="s">
        <v>43</v>
      </c>
      <c r="D6" s="27"/>
      <c r="E6" s="27"/>
      <c r="F6" s="27"/>
      <c r="G6" s="27"/>
      <c r="H6" s="27"/>
      <c r="I6" s="27"/>
      <c r="J6" s="27"/>
    </row>
    <row r="7" spans="2:10" ht="17">
      <c r="B7" s="30"/>
      <c r="C7" s="152" t="s">
        <v>44</v>
      </c>
      <c r="D7" s="152"/>
      <c r="E7" s="152"/>
      <c r="F7" s="152"/>
      <c r="G7" s="27"/>
      <c r="H7" s="27"/>
      <c r="I7" s="27"/>
      <c r="J7" s="27"/>
    </row>
    <row r="8" spans="2:10" ht="19">
      <c r="B8" s="32">
        <v>3</v>
      </c>
      <c r="C8" s="33" t="s">
        <v>85</v>
      </c>
      <c r="D8" s="27"/>
      <c r="E8" s="27"/>
      <c r="F8" s="27"/>
      <c r="G8" s="27"/>
      <c r="H8" s="27"/>
      <c r="I8" s="27"/>
      <c r="J8" s="27"/>
    </row>
    <row r="9" spans="2:10" ht="19">
      <c r="B9" s="30"/>
      <c r="C9" s="153" t="s">
        <v>86</v>
      </c>
      <c r="D9" s="153"/>
      <c r="E9" s="153"/>
      <c r="F9" s="153"/>
      <c r="G9" s="27"/>
      <c r="H9" s="27"/>
      <c r="I9" s="27"/>
      <c r="J9" s="27"/>
    </row>
    <row r="10" spans="2:10" ht="19">
      <c r="B10" s="30"/>
      <c r="C10" s="34" t="s">
        <v>45</v>
      </c>
      <c r="D10" s="34" t="s">
        <v>46</v>
      </c>
      <c r="E10" s="34" t="s">
        <v>47</v>
      </c>
      <c r="F10" s="34" t="s">
        <v>87</v>
      </c>
      <c r="G10" s="27"/>
      <c r="H10" s="27"/>
      <c r="I10" s="27"/>
      <c r="J10" s="27"/>
    </row>
    <row r="11" spans="2:10" ht="17">
      <c r="B11" s="30"/>
      <c r="C11" s="34" t="s">
        <v>48</v>
      </c>
      <c r="D11" s="34" t="s">
        <v>49</v>
      </c>
      <c r="E11" s="34">
        <v>0.87</v>
      </c>
      <c r="F11" s="35">
        <v>3.206</v>
      </c>
      <c r="G11" s="27"/>
      <c r="H11" s="27"/>
      <c r="I11" s="27"/>
      <c r="J11" s="27"/>
    </row>
    <row r="12" spans="2:10" ht="17">
      <c r="B12" s="30"/>
      <c r="C12" s="34" t="s">
        <v>50</v>
      </c>
      <c r="D12" s="34" t="s">
        <v>51</v>
      </c>
      <c r="E12" s="34">
        <v>0.8</v>
      </c>
      <c r="F12" s="34">
        <v>3.1510400000000001</v>
      </c>
      <c r="G12" s="27"/>
      <c r="H12" s="27"/>
      <c r="I12" s="27"/>
      <c r="J12" s="27"/>
    </row>
    <row r="13" spans="2:10" ht="17">
      <c r="B13" s="30"/>
      <c r="C13" s="34" t="s">
        <v>52</v>
      </c>
      <c r="D13" s="34" t="s">
        <v>53</v>
      </c>
      <c r="E13" s="34">
        <v>0.8</v>
      </c>
      <c r="F13" s="34">
        <v>3.1143999999999998</v>
      </c>
      <c r="G13" s="27"/>
      <c r="H13" s="27"/>
      <c r="I13" s="27"/>
      <c r="J13" s="27"/>
    </row>
    <row r="14" spans="2:10" ht="17">
      <c r="B14" s="30"/>
      <c r="C14" s="36" t="s">
        <v>54</v>
      </c>
      <c r="D14" s="36" t="s">
        <v>55</v>
      </c>
      <c r="E14" s="36">
        <v>0.89</v>
      </c>
      <c r="F14" s="36">
        <v>3</v>
      </c>
      <c r="G14" s="27"/>
      <c r="H14" s="27"/>
      <c r="I14" s="27"/>
      <c r="J14" s="27"/>
    </row>
    <row r="15" spans="2:10" ht="17">
      <c r="B15" s="30"/>
      <c r="C15" s="37"/>
      <c r="D15" s="37" t="s">
        <v>56</v>
      </c>
      <c r="E15" s="37">
        <v>0.82</v>
      </c>
      <c r="F15" s="37">
        <v>3.03</v>
      </c>
      <c r="G15" s="27"/>
      <c r="H15" s="27"/>
      <c r="I15" s="27"/>
      <c r="J15" s="27"/>
    </row>
    <row r="16" spans="2:10" ht="17">
      <c r="B16" s="30"/>
      <c r="C16" s="34" t="s">
        <v>57</v>
      </c>
      <c r="D16" s="34"/>
      <c r="E16" s="34">
        <v>0.7</v>
      </c>
      <c r="F16" s="34">
        <v>2.75</v>
      </c>
      <c r="G16" s="27"/>
      <c r="H16" s="27"/>
      <c r="I16" s="27"/>
      <c r="J16" s="27"/>
    </row>
    <row r="17" spans="2:10" ht="17">
      <c r="B17" s="30"/>
      <c r="C17" s="27"/>
      <c r="D17" s="27"/>
      <c r="E17" s="27"/>
      <c r="F17" s="27"/>
      <c r="G17" s="27"/>
      <c r="H17" s="27"/>
      <c r="I17" s="27"/>
      <c r="J17" s="27"/>
    </row>
    <row r="18" spans="2:10" ht="17">
      <c r="B18" s="32">
        <v>4</v>
      </c>
      <c r="C18" s="33" t="s">
        <v>58</v>
      </c>
      <c r="D18" s="27"/>
      <c r="E18" s="27"/>
      <c r="F18" s="27"/>
      <c r="G18" s="27"/>
      <c r="H18" s="27"/>
      <c r="I18" s="27"/>
      <c r="J18" s="27"/>
    </row>
    <row r="19" spans="2:10" ht="17">
      <c r="B19" s="30"/>
      <c r="C19" s="27" t="s">
        <v>59</v>
      </c>
      <c r="D19" s="27"/>
      <c r="E19" s="27"/>
      <c r="F19" s="27"/>
      <c r="G19" s="27"/>
      <c r="H19" s="27"/>
      <c r="I19" s="27"/>
      <c r="J19" s="27"/>
    </row>
    <row r="20" spans="2:10" ht="17">
      <c r="B20" s="30"/>
      <c r="C20" s="27"/>
      <c r="D20" s="27"/>
      <c r="E20" s="27"/>
      <c r="F20" s="27"/>
      <c r="G20" s="27"/>
      <c r="H20" s="27"/>
      <c r="I20" s="27"/>
      <c r="J20" s="27"/>
    </row>
    <row r="21" spans="2:10" ht="17">
      <c r="B21" s="30"/>
      <c r="C21" s="29"/>
      <c r="D21" s="27"/>
      <c r="E21" s="27"/>
      <c r="F21" s="27"/>
      <c r="G21" s="27"/>
      <c r="H21" s="27"/>
      <c r="I21" s="27"/>
      <c r="J21" s="27"/>
    </row>
    <row r="22" spans="2:10" ht="17">
      <c r="B22" s="30"/>
      <c r="C22" s="29"/>
      <c r="D22" s="27"/>
      <c r="E22" s="27" t="s">
        <v>60</v>
      </c>
      <c r="F22" s="27"/>
      <c r="G22" s="27"/>
      <c r="H22" s="27"/>
      <c r="I22" s="27"/>
      <c r="J22" s="27"/>
    </row>
    <row r="23" spans="2:10" ht="17">
      <c r="B23" s="30"/>
      <c r="C23" s="27"/>
      <c r="D23" s="27"/>
      <c r="E23" s="27" t="s">
        <v>61</v>
      </c>
      <c r="F23" s="27"/>
      <c r="G23" s="27"/>
      <c r="H23" s="27"/>
      <c r="I23" s="27"/>
      <c r="J23" s="27"/>
    </row>
    <row r="24" spans="2:10" ht="17">
      <c r="B24" s="30"/>
      <c r="C24" s="27"/>
      <c r="D24" s="27"/>
      <c r="E24" s="27"/>
      <c r="F24" s="27"/>
      <c r="G24" s="27"/>
      <c r="H24" s="27"/>
      <c r="I24" s="27"/>
      <c r="J24" s="27"/>
    </row>
    <row r="25" spans="2:10" ht="17">
      <c r="B25" s="30"/>
      <c r="C25" s="27"/>
      <c r="D25" s="27"/>
      <c r="E25" s="27"/>
      <c r="F25" s="27"/>
      <c r="G25" s="27"/>
      <c r="H25" s="27"/>
      <c r="I25" s="27"/>
      <c r="J25" s="27"/>
    </row>
    <row r="26" spans="2:10" ht="17">
      <c r="B26" s="30"/>
      <c r="C26" s="27"/>
      <c r="D26" s="27"/>
      <c r="E26" s="27"/>
      <c r="F26" s="27"/>
      <c r="G26" s="27"/>
      <c r="H26" s="27"/>
      <c r="I26" s="27"/>
      <c r="J26" s="27"/>
    </row>
    <row r="27" spans="2:10" ht="17">
      <c r="B27" s="30"/>
      <c r="C27" s="27" t="s">
        <v>62</v>
      </c>
      <c r="D27" s="27"/>
      <c r="E27" s="27"/>
      <c r="F27" s="27"/>
      <c r="G27" s="27"/>
      <c r="H27" s="27"/>
      <c r="I27" s="27"/>
      <c r="J27" s="27"/>
    </row>
    <row r="28" spans="2:10" ht="17">
      <c r="B28" s="30"/>
      <c r="C28" s="27"/>
      <c r="D28" s="27"/>
      <c r="E28" s="27"/>
      <c r="F28" s="27"/>
      <c r="G28" s="27"/>
      <c r="H28" s="27"/>
      <c r="I28" s="27"/>
      <c r="J28" s="27"/>
    </row>
    <row r="29" spans="2:10" ht="17">
      <c r="B29" s="30"/>
      <c r="C29" s="27"/>
      <c r="D29" s="27"/>
      <c r="E29" s="27"/>
      <c r="F29" s="27"/>
      <c r="G29" s="27"/>
      <c r="H29" s="27"/>
      <c r="I29" s="27"/>
      <c r="J29" s="27"/>
    </row>
    <row r="30" spans="2:10" ht="17">
      <c r="B30" s="30"/>
      <c r="C30" s="27"/>
      <c r="D30" s="27"/>
      <c r="E30" s="27" t="s">
        <v>63</v>
      </c>
      <c r="F30" s="27"/>
      <c r="G30" s="27"/>
      <c r="H30" s="27"/>
      <c r="I30" s="27"/>
      <c r="J30" s="27"/>
    </row>
    <row r="31" spans="2:10" ht="17">
      <c r="B31" s="30"/>
      <c r="C31" s="27"/>
      <c r="D31" s="27"/>
      <c r="E31" s="27"/>
      <c r="F31" s="27"/>
      <c r="G31" s="27"/>
      <c r="H31" s="27"/>
      <c r="I31" s="27"/>
      <c r="J31" s="27"/>
    </row>
    <row r="32" spans="2:10" ht="17">
      <c r="B32" s="30"/>
      <c r="C32" s="27"/>
      <c r="D32" s="27"/>
      <c r="E32" s="27"/>
      <c r="F32" s="27"/>
      <c r="G32" s="27"/>
      <c r="H32" s="27"/>
      <c r="I32" s="27"/>
      <c r="J32" s="27"/>
    </row>
    <row r="33" spans="2:10" ht="17">
      <c r="B33" s="30"/>
      <c r="C33" s="27"/>
      <c r="D33" s="27"/>
      <c r="E33" s="27"/>
      <c r="F33" s="27"/>
      <c r="G33" s="27"/>
      <c r="H33" s="27"/>
      <c r="I33" s="27"/>
      <c r="J33" s="27"/>
    </row>
    <row r="34" spans="2:10" ht="17">
      <c r="B34" s="30"/>
      <c r="C34" s="27" t="s">
        <v>64</v>
      </c>
      <c r="D34" s="27"/>
      <c r="E34" s="27"/>
      <c r="F34" s="27"/>
      <c r="G34" s="27"/>
      <c r="H34" s="27"/>
      <c r="I34" s="27"/>
      <c r="J34" s="27"/>
    </row>
    <row r="35" spans="2:10" ht="17">
      <c r="B35" s="30"/>
      <c r="C35" s="27" t="s">
        <v>65</v>
      </c>
      <c r="D35" s="27"/>
      <c r="E35" s="27"/>
      <c r="F35" s="27"/>
      <c r="G35" s="27"/>
      <c r="H35" s="27"/>
      <c r="I35" s="27"/>
      <c r="J35" s="27"/>
    </row>
    <row r="36" spans="2:10" ht="17">
      <c r="B36" s="30"/>
      <c r="C36" s="27" t="s">
        <v>66</v>
      </c>
      <c r="D36" s="27"/>
      <c r="E36" s="27"/>
      <c r="F36" s="27"/>
      <c r="G36" s="27"/>
      <c r="H36" s="27"/>
      <c r="I36" s="27"/>
      <c r="J36" s="27"/>
    </row>
    <row r="37" spans="2:10" ht="19">
      <c r="B37" s="30"/>
      <c r="C37" s="27" t="s">
        <v>88</v>
      </c>
      <c r="D37" s="27"/>
      <c r="E37" s="27"/>
      <c r="F37" s="27"/>
      <c r="G37" s="27"/>
      <c r="H37" s="27"/>
      <c r="I37" s="27"/>
      <c r="J37" s="27"/>
    </row>
    <row r="38" spans="2:10" ht="19">
      <c r="B38" s="30"/>
      <c r="C38" s="27" t="s">
        <v>89</v>
      </c>
      <c r="D38" s="27"/>
      <c r="E38" s="27"/>
      <c r="F38" s="27"/>
      <c r="G38" s="27"/>
      <c r="H38" s="27"/>
      <c r="I38" s="27"/>
      <c r="J38" s="27"/>
    </row>
    <row r="39" spans="2:10" ht="19">
      <c r="B39" s="30"/>
      <c r="C39" s="27" t="s">
        <v>90</v>
      </c>
      <c r="D39" s="27"/>
      <c r="E39" s="27"/>
      <c r="F39" s="27"/>
      <c r="G39" s="27"/>
      <c r="H39" s="27"/>
      <c r="I39" s="27"/>
      <c r="J39" s="27"/>
    </row>
    <row r="40" spans="2:10" ht="17">
      <c r="B40" s="30"/>
      <c r="C40" s="27" t="s">
        <v>67</v>
      </c>
      <c r="D40" s="27"/>
      <c r="E40" s="27"/>
      <c r="F40" s="27"/>
      <c r="G40" s="27"/>
      <c r="H40" s="27"/>
      <c r="I40" s="27"/>
      <c r="J40" s="27"/>
    </row>
    <row r="41" spans="2:10" ht="17">
      <c r="B41" s="30"/>
      <c r="C41" s="27"/>
      <c r="D41" s="27"/>
      <c r="E41" s="27"/>
      <c r="F41" s="27"/>
      <c r="G41" s="27"/>
      <c r="H41" s="27"/>
      <c r="I41" s="27"/>
      <c r="J41" s="27"/>
    </row>
    <row r="42" spans="2:10" ht="19">
      <c r="B42" s="30"/>
      <c r="C42" s="27" t="s">
        <v>91</v>
      </c>
      <c r="D42" s="27"/>
      <c r="E42" s="27"/>
      <c r="F42" s="27"/>
      <c r="G42" s="27"/>
      <c r="H42" s="27"/>
      <c r="I42" s="27"/>
      <c r="J42" s="27"/>
    </row>
    <row r="43" spans="2:10" ht="17">
      <c r="B43" s="30"/>
      <c r="C43" s="27"/>
      <c r="D43" s="27"/>
      <c r="E43" s="27"/>
      <c r="F43" s="27"/>
      <c r="G43" s="27"/>
      <c r="H43" s="27"/>
      <c r="I43" s="27"/>
      <c r="J43" s="27"/>
    </row>
    <row r="44" spans="2:10" ht="17">
      <c r="B44" s="30"/>
      <c r="C44" s="27" t="s">
        <v>68</v>
      </c>
      <c r="D44" s="27"/>
      <c r="E44" s="27"/>
      <c r="F44" s="27"/>
      <c r="G44" s="27"/>
      <c r="H44" s="27"/>
      <c r="I44" s="27"/>
      <c r="J44" s="27"/>
    </row>
    <row r="45" spans="2:10" ht="17">
      <c r="B45" s="30"/>
      <c r="C45" s="27"/>
      <c r="D45" s="27"/>
      <c r="E45" s="27"/>
      <c r="F45" s="27"/>
      <c r="G45" s="27"/>
      <c r="H45" s="27"/>
      <c r="I45" s="27"/>
      <c r="J45" s="27"/>
    </row>
    <row r="46" spans="2:10" ht="17">
      <c r="B46" s="30"/>
      <c r="C46" s="27"/>
      <c r="D46" s="27"/>
      <c r="E46" s="27"/>
      <c r="F46" s="27"/>
      <c r="G46" s="27"/>
      <c r="H46" s="27"/>
      <c r="I46" s="27"/>
      <c r="J46" s="27"/>
    </row>
    <row r="47" spans="2:10" ht="17">
      <c r="B47" s="32">
        <v>5</v>
      </c>
      <c r="C47" s="33" t="s">
        <v>69</v>
      </c>
      <c r="D47" s="27"/>
      <c r="E47" s="27"/>
      <c r="F47" s="27"/>
      <c r="G47" s="27"/>
      <c r="H47" s="27"/>
      <c r="I47" s="27"/>
      <c r="J47" s="27"/>
    </row>
    <row r="48" spans="2:10" ht="17">
      <c r="B48" s="30"/>
      <c r="C48" s="27" t="s">
        <v>70</v>
      </c>
      <c r="D48" s="27"/>
      <c r="E48" s="27"/>
      <c r="F48" s="27"/>
      <c r="G48" s="27"/>
      <c r="H48" s="27"/>
      <c r="I48" s="27"/>
      <c r="J48" s="27"/>
    </row>
    <row r="49" spans="2:10" ht="17">
      <c r="B49" s="30"/>
      <c r="C49" s="27" t="s">
        <v>71</v>
      </c>
      <c r="D49" s="27"/>
      <c r="E49" s="27"/>
      <c r="F49" s="27"/>
      <c r="G49" s="27"/>
      <c r="H49" s="27"/>
      <c r="I49" s="27"/>
      <c r="J49" s="27"/>
    </row>
    <row r="50" spans="2:10" ht="17">
      <c r="B50" s="30"/>
      <c r="C50" s="27"/>
      <c r="D50" s="27"/>
      <c r="E50" s="27"/>
      <c r="F50" s="27"/>
      <c r="G50" s="27"/>
      <c r="H50" s="27"/>
      <c r="I50" s="27"/>
      <c r="J50" s="27"/>
    </row>
    <row r="51" spans="2:10" ht="17">
      <c r="B51" s="30"/>
      <c r="C51" s="27"/>
      <c r="D51" s="27"/>
      <c r="E51" s="27"/>
      <c r="F51" s="27"/>
      <c r="G51" s="27"/>
      <c r="H51" s="27"/>
      <c r="I51" s="27"/>
      <c r="J51" s="27"/>
    </row>
    <row r="52" spans="2:10" ht="17">
      <c r="B52" s="32">
        <v>6</v>
      </c>
      <c r="C52" s="33" t="s">
        <v>72</v>
      </c>
      <c r="D52" s="27"/>
      <c r="E52" s="27"/>
      <c r="F52" s="27"/>
      <c r="G52" s="27"/>
      <c r="H52" s="27"/>
      <c r="I52" s="27"/>
      <c r="J52" s="27"/>
    </row>
    <row r="53" spans="2:10" ht="17">
      <c r="B53" s="30"/>
      <c r="C53" s="27" t="s">
        <v>73</v>
      </c>
      <c r="D53" s="27"/>
      <c r="E53" s="27"/>
      <c r="F53" s="27"/>
      <c r="G53" s="27"/>
      <c r="H53" s="27"/>
      <c r="I53" s="27"/>
      <c r="J53" s="27"/>
    </row>
    <row r="54" spans="2:10" ht="19">
      <c r="B54" s="30"/>
      <c r="C54" s="27"/>
      <c r="D54" s="27"/>
      <c r="E54" s="27" t="s">
        <v>92</v>
      </c>
      <c r="F54" s="27"/>
      <c r="G54" s="27"/>
      <c r="H54" s="27"/>
      <c r="I54" s="27"/>
      <c r="J54" s="27"/>
    </row>
    <row r="55" spans="2:10" ht="17">
      <c r="B55" s="30"/>
      <c r="C55" s="154" t="s">
        <v>74</v>
      </c>
      <c r="D55" s="155"/>
      <c r="E55" s="155"/>
      <c r="F55" s="155"/>
      <c r="G55" s="155"/>
      <c r="H55" s="156"/>
      <c r="I55" s="27"/>
      <c r="J55" s="27"/>
    </row>
    <row r="56" spans="2:10" ht="17">
      <c r="B56" s="30"/>
      <c r="C56" s="150" t="s">
        <v>75</v>
      </c>
      <c r="D56" s="147" t="s">
        <v>76</v>
      </c>
      <c r="E56" s="148"/>
      <c r="F56" s="149"/>
      <c r="G56" s="147" t="s">
        <v>77</v>
      </c>
      <c r="H56" s="149"/>
      <c r="I56" s="27"/>
      <c r="J56" s="27"/>
    </row>
    <row r="57" spans="2:10" ht="17">
      <c r="B57" s="30"/>
      <c r="C57" s="151"/>
      <c r="D57" s="28" t="s">
        <v>78</v>
      </c>
      <c r="E57" s="28" t="s">
        <v>78</v>
      </c>
      <c r="F57" s="28" t="s">
        <v>78</v>
      </c>
      <c r="G57" s="28" t="s">
        <v>79</v>
      </c>
      <c r="H57" s="28" t="s">
        <v>80</v>
      </c>
      <c r="I57" s="27"/>
      <c r="J57" s="27"/>
    </row>
    <row r="58" spans="2:10" ht="17">
      <c r="B58" s="30"/>
      <c r="C58" s="34">
        <v>1</v>
      </c>
      <c r="D58" s="28"/>
      <c r="E58" s="28"/>
      <c r="F58" s="28"/>
      <c r="G58" s="28"/>
      <c r="H58" s="28"/>
      <c r="I58" s="27"/>
      <c r="J58" s="27"/>
    </row>
    <row r="59" spans="2:10" ht="17">
      <c r="B59" s="30"/>
      <c r="C59" s="34">
        <v>2</v>
      </c>
      <c r="D59" s="28"/>
      <c r="E59" s="28"/>
      <c r="F59" s="28"/>
      <c r="G59" s="28"/>
      <c r="H59" s="28"/>
      <c r="I59" s="27"/>
      <c r="J59" s="27"/>
    </row>
    <row r="60" spans="2:10" ht="17">
      <c r="B60" s="30"/>
      <c r="C60" s="34">
        <v>3</v>
      </c>
      <c r="D60" s="28"/>
      <c r="E60" s="28"/>
      <c r="F60" s="28"/>
      <c r="G60" s="28"/>
      <c r="H60" s="28"/>
      <c r="I60" s="27"/>
      <c r="J60" s="27"/>
    </row>
    <row r="61" spans="2:10" ht="17">
      <c r="B61" s="30"/>
      <c r="C61" s="28"/>
      <c r="D61" s="28"/>
      <c r="E61" s="28"/>
      <c r="F61" s="28"/>
      <c r="G61" s="28"/>
      <c r="H61" s="28"/>
      <c r="I61" s="27"/>
      <c r="J61" s="27"/>
    </row>
    <row r="62" spans="2:10" ht="19">
      <c r="B62" s="30"/>
      <c r="C62" s="27" t="s">
        <v>93</v>
      </c>
      <c r="D62" s="27"/>
      <c r="E62" s="27"/>
      <c r="F62" s="27"/>
      <c r="G62" s="27"/>
      <c r="H62" s="27"/>
      <c r="I62" s="27"/>
      <c r="J62" s="27"/>
    </row>
    <row r="63" spans="2:10" ht="17">
      <c r="B63" s="30"/>
      <c r="C63" s="27"/>
      <c r="D63" s="27"/>
      <c r="E63" s="27"/>
      <c r="F63" s="27"/>
      <c r="G63" s="27"/>
      <c r="H63" s="27"/>
      <c r="I63" s="27"/>
      <c r="J63" s="27"/>
    </row>
    <row r="64" spans="2:10" ht="17">
      <c r="B64" s="32">
        <v>7</v>
      </c>
      <c r="C64" s="33" t="s">
        <v>81</v>
      </c>
      <c r="D64" s="27"/>
      <c r="E64" s="27"/>
      <c r="F64" s="27"/>
      <c r="G64" s="27"/>
      <c r="H64" s="27"/>
      <c r="I64" s="27"/>
      <c r="J64" s="27"/>
    </row>
    <row r="65" spans="2:10" ht="17">
      <c r="B65" s="30"/>
      <c r="C65" s="27" t="s">
        <v>82</v>
      </c>
      <c r="D65" s="27"/>
      <c r="E65" s="27"/>
      <c r="F65" s="27"/>
      <c r="G65" s="27"/>
      <c r="H65" s="27"/>
      <c r="I65" s="27"/>
      <c r="J65" s="27"/>
    </row>
    <row r="66" spans="2:10" ht="17">
      <c r="B66" s="30"/>
      <c r="C66" s="27"/>
      <c r="D66" s="27"/>
      <c r="E66" s="27"/>
      <c r="F66" s="27"/>
      <c r="G66" s="27"/>
      <c r="H66" s="27"/>
      <c r="I66" s="27"/>
      <c r="J66" s="27"/>
    </row>
    <row r="67" spans="2:10" ht="17">
      <c r="B67" s="32">
        <v>8</v>
      </c>
      <c r="C67" s="33" t="s">
        <v>83</v>
      </c>
      <c r="D67" s="27"/>
      <c r="E67" s="27"/>
      <c r="F67" s="27"/>
      <c r="G67" s="27"/>
      <c r="H67" s="27"/>
      <c r="I67" s="27"/>
      <c r="J67" s="27"/>
    </row>
    <row r="68" spans="2:10" ht="17">
      <c r="B68" s="30"/>
      <c r="C68" s="27" t="s">
        <v>84</v>
      </c>
      <c r="D68" s="27"/>
      <c r="E68" s="27"/>
      <c r="F68" s="27"/>
      <c r="G68" s="27"/>
      <c r="H68" s="27"/>
      <c r="I68" s="27"/>
      <c r="J68" s="27"/>
    </row>
    <row r="69" spans="2:10" ht="17">
      <c r="B69" s="30"/>
      <c r="C69" s="27"/>
      <c r="D69" s="27"/>
      <c r="E69" s="27"/>
      <c r="F69" s="27"/>
      <c r="G69" s="27"/>
      <c r="H69" s="27"/>
      <c r="I69" s="27"/>
      <c r="J69" s="27"/>
    </row>
    <row r="70" spans="2:10" ht="17">
      <c r="B70" s="30"/>
      <c r="C70" s="147" t="s">
        <v>74</v>
      </c>
      <c r="D70" s="148"/>
      <c r="E70" s="148"/>
      <c r="F70" s="148"/>
      <c r="G70" s="148"/>
      <c r="H70" s="149"/>
      <c r="I70" s="27"/>
      <c r="J70" s="27"/>
    </row>
    <row r="71" spans="2:10" ht="17">
      <c r="B71" s="30"/>
      <c r="C71" s="150" t="s">
        <v>75</v>
      </c>
      <c r="D71" s="147" t="s">
        <v>76</v>
      </c>
      <c r="E71" s="148"/>
      <c r="F71" s="149"/>
      <c r="G71" s="147" t="s">
        <v>77</v>
      </c>
      <c r="H71" s="149"/>
      <c r="I71" s="27"/>
      <c r="J71" s="27"/>
    </row>
    <row r="72" spans="2:10" ht="17">
      <c r="B72" s="30"/>
      <c r="C72" s="151"/>
      <c r="D72" s="34" t="s">
        <v>78</v>
      </c>
      <c r="E72" s="34" t="s">
        <v>78</v>
      </c>
      <c r="F72" s="34" t="s">
        <v>78</v>
      </c>
      <c r="G72" s="34" t="s">
        <v>79</v>
      </c>
      <c r="H72" s="34" t="s">
        <v>80</v>
      </c>
      <c r="I72" s="27"/>
      <c r="J72" s="27"/>
    </row>
    <row r="73" spans="2:10" ht="17">
      <c r="B73" s="30"/>
      <c r="C73" s="34">
        <v>1</v>
      </c>
      <c r="D73" s="34">
        <v>20</v>
      </c>
      <c r="E73" s="34">
        <v>5</v>
      </c>
      <c r="F73" s="34"/>
      <c r="G73" s="34">
        <v>25000</v>
      </c>
      <c r="H73" s="34">
        <v>300</v>
      </c>
      <c r="I73" s="27"/>
      <c r="J73" s="27"/>
    </row>
    <row r="74" spans="2:10" ht="17">
      <c r="B74" s="30"/>
      <c r="C74" s="34">
        <v>2</v>
      </c>
      <c r="D74" s="34">
        <v>20</v>
      </c>
      <c r="E74" s="34">
        <v>5</v>
      </c>
      <c r="F74" s="34"/>
      <c r="G74" s="34">
        <v>0</v>
      </c>
      <c r="H74" s="34">
        <v>300</v>
      </c>
      <c r="I74" s="27"/>
      <c r="J74" s="27"/>
    </row>
    <row r="75" spans="2:10" ht="17">
      <c r="B75" s="30"/>
      <c r="C75" s="34">
        <v>3</v>
      </c>
      <c r="D75" s="34">
        <v>50</v>
      </c>
      <c r="E75" s="34">
        <v>10</v>
      </c>
      <c r="F75" s="34"/>
      <c r="G75" s="34">
        <v>25000</v>
      </c>
      <c r="H75" s="34">
        <v>750</v>
      </c>
      <c r="I75" s="27"/>
      <c r="J75" s="27"/>
    </row>
    <row r="76" spans="2:10" ht="17">
      <c r="B76" s="30"/>
      <c r="C76" s="34"/>
      <c r="D76" s="34">
        <v>10</v>
      </c>
      <c r="E76" s="34">
        <v>3</v>
      </c>
      <c r="F76" s="34"/>
      <c r="G76" s="34">
        <v>15000</v>
      </c>
      <c r="H76" s="34">
        <v>150</v>
      </c>
      <c r="I76" s="27"/>
      <c r="J76" s="27"/>
    </row>
    <row r="77" spans="2:10" ht="17">
      <c r="B77" s="30"/>
      <c r="C77" s="27"/>
      <c r="D77" s="27"/>
      <c r="E77" s="27"/>
      <c r="F77" s="27"/>
      <c r="G77" s="27"/>
      <c r="H77" s="27"/>
      <c r="I77" s="27"/>
      <c r="J77" s="27"/>
    </row>
    <row r="78" spans="2:10" ht="17">
      <c r="B78" s="30"/>
      <c r="C78" s="27"/>
      <c r="D78" s="27"/>
      <c r="E78" s="27"/>
      <c r="F78" s="27"/>
      <c r="G78" s="27"/>
      <c r="H78" s="27"/>
      <c r="I78" s="27"/>
      <c r="J78" s="27"/>
    </row>
    <row r="79" spans="2:10" ht="17">
      <c r="B79" s="30"/>
      <c r="C79" s="27"/>
      <c r="D79" s="27"/>
      <c r="E79" s="27"/>
      <c r="F79" s="27"/>
      <c r="G79" s="27"/>
      <c r="H79" s="27"/>
      <c r="I79" s="27"/>
      <c r="J79" s="27"/>
    </row>
    <row r="80" spans="2:10" ht="17">
      <c r="B80" s="30"/>
      <c r="C80" s="27"/>
      <c r="D80" s="27"/>
      <c r="E80" s="27"/>
      <c r="F80" s="27"/>
      <c r="G80" s="27"/>
      <c r="H80" s="27"/>
      <c r="I80" s="27"/>
      <c r="J80" s="27"/>
    </row>
    <row r="81" spans="2:10" ht="17">
      <c r="B81" s="30"/>
      <c r="C81" s="27"/>
      <c r="D81" s="27"/>
      <c r="E81" s="27"/>
      <c r="F81" s="27"/>
      <c r="G81" s="27"/>
      <c r="H81" s="27"/>
      <c r="I81" s="27"/>
      <c r="J81" s="27"/>
    </row>
    <row r="82" spans="2:10" ht="17">
      <c r="B82" s="30"/>
      <c r="C82" s="27"/>
      <c r="D82" s="27"/>
      <c r="E82" s="27"/>
      <c r="F82" s="27"/>
      <c r="G82" s="27"/>
      <c r="H82" s="27"/>
      <c r="I82" s="27"/>
      <c r="J82" s="27"/>
    </row>
    <row r="83" spans="2:10" ht="17">
      <c r="B83" s="30"/>
      <c r="C83" s="27"/>
      <c r="D83" s="27"/>
      <c r="E83" s="27"/>
      <c r="F83" s="27"/>
      <c r="G83" s="27"/>
      <c r="H83" s="27"/>
      <c r="I83" s="27"/>
      <c r="J83" s="27"/>
    </row>
    <row r="84" spans="2:10" ht="19">
      <c r="B84" s="30"/>
      <c r="C84" s="27" t="s">
        <v>94</v>
      </c>
      <c r="D84" s="27"/>
      <c r="E84" s="27"/>
      <c r="F84" s="27"/>
      <c r="G84" s="27"/>
      <c r="H84" s="27"/>
      <c r="I84" s="27"/>
      <c r="J84" s="27"/>
    </row>
    <row r="85" spans="2:10" ht="17">
      <c r="B85" s="30"/>
      <c r="C85" s="27"/>
      <c r="D85" s="27"/>
      <c r="E85" s="27"/>
      <c r="F85" s="27"/>
      <c r="G85" s="27"/>
      <c r="H85" s="27"/>
      <c r="I85" s="27"/>
      <c r="J85" s="27"/>
    </row>
    <row r="86" spans="2:10" ht="17">
      <c r="B86" s="30"/>
      <c r="C86" s="27"/>
      <c r="D86" s="27"/>
      <c r="E86" s="27"/>
      <c r="F86" s="27"/>
      <c r="G86" s="27"/>
      <c r="H86" s="27"/>
      <c r="I86" s="27"/>
      <c r="J86" s="27"/>
    </row>
    <row r="87" spans="2:10" ht="17">
      <c r="B87" s="30"/>
      <c r="C87" s="27"/>
      <c r="D87" s="27"/>
      <c r="E87" s="27"/>
      <c r="F87" s="27"/>
      <c r="G87" s="27"/>
      <c r="H87" s="27"/>
      <c r="I87" s="27"/>
      <c r="J87" s="27"/>
    </row>
    <row r="88" spans="2:10" ht="17">
      <c r="B88" s="30"/>
      <c r="C88" s="27"/>
      <c r="D88" s="27"/>
      <c r="E88" s="27"/>
      <c r="F88" s="27"/>
      <c r="G88" s="27"/>
      <c r="H88" s="27"/>
      <c r="I88" s="27"/>
      <c r="J88" s="27"/>
    </row>
    <row r="89" spans="2:10" ht="17">
      <c r="B89" s="30"/>
      <c r="C89" s="27"/>
      <c r="D89" s="27"/>
      <c r="E89" s="27"/>
      <c r="F89" s="27"/>
      <c r="G89" s="27"/>
      <c r="H89" s="27"/>
      <c r="I89" s="27"/>
      <c r="J89" s="27"/>
    </row>
    <row r="90" spans="2:10" ht="17">
      <c r="B90" s="30"/>
      <c r="C90" s="27"/>
      <c r="D90" s="27"/>
      <c r="E90" s="27"/>
      <c r="F90" s="27"/>
      <c r="G90" s="27"/>
      <c r="H90" s="27"/>
      <c r="I90" s="27"/>
      <c r="J90" s="27"/>
    </row>
    <row r="91" spans="2:10" ht="17">
      <c r="B91" s="30"/>
      <c r="C91" s="27"/>
      <c r="D91" s="27"/>
      <c r="E91" s="27"/>
      <c r="F91" s="27"/>
      <c r="G91" s="27"/>
      <c r="H91" s="27"/>
      <c r="I91" s="27"/>
      <c r="J91" s="27"/>
    </row>
    <row r="92" spans="2:10" ht="17">
      <c r="B92" s="30"/>
      <c r="C92" s="27"/>
      <c r="D92" s="27"/>
      <c r="E92" s="27"/>
      <c r="F92" s="27"/>
      <c r="G92" s="27"/>
      <c r="H92" s="27"/>
      <c r="I92" s="27"/>
      <c r="J92" s="27"/>
    </row>
    <row r="93" spans="2:10" ht="17">
      <c r="B93" s="30"/>
      <c r="C93" s="27"/>
      <c r="D93" s="27"/>
      <c r="E93" s="27"/>
      <c r="F93" s="27"/>
      <c r="G93" s="27"/>
      <c r="H93" s="27"/>
      <c r="I93" s="27"/>
      <c r="J93" s="27"/>
    </row>
    <row r="94" spans="2:10" ht="17">
      <c r="B94" s="30"/>
      <c r="C94" s="27"/>
      <c r="D94" s="27"/>
      <c r="E94" s="27"/>
      <c r="F94" s="27"/>
      <c r="G94" s="27"/>
      <c r="H94" s="27"/>
      <c r="I94" s="27"/>
      <c r="J94" s="27"/>
    </row>
    <row r="95" spans="2:10" ht="17">
      <c r="B95" s="30"/>
      <c r="C95" s="27"/>
      <c r="D95" s="27"/>
      <c r="E95" s="27"/>
      <c r="F95" s="27"/>
      <c r="G95" s="27"/>
      <c r="H95" s="27"/>
      <c r="I95" s="27"/>
      <c r="J95" s="27"/>
    </row>
    <row r="96" spans="2:10" ht="17">
      <c r="B96" s="30"/>
      <c r="C96" s="27"/>
      <c r="D96" s="27"/>
      <c r="E96" s="27"/>
      <c r="F96" s="27"/>
      <c r="G96" s="27"/>
      <c r="H96" s="27"/>
      <c r="I96" s="27"/>
      <c r="J96" s="27"/>
    </row>
    <row r="97" spans="2:10" ht="17">
      <c r="B97" s="30"/>
      <c r="C97" s="27"/>
      <c r="D97" s="27"/>
      <c r="E97" s="27"/>
      <c r="F97" s="27"/>
      <c r="G97" s="27"/>
      <c r="H97" s="27"/>
      <c r="I97" s="27"/>
      <c r="J97" s="27"/>
    </row>
    <row r="98" spans="2:10" ht="17">
      <c r="B98" s="30"/>
      <c r="C98" s="27"/>
      <c r="D98" s="27"/>
      <c r="E98" s="27"/>
      <c r="F98" s="27"/>
      <c r="G98" s="27"/>
      <c r="H98" s="27"/>
      <c r="I98" s="27"/>
      <c r="J98" s="27"/>
    </row>
    <row r="99" spans="2:10" ht="17">
      <c r="B99" s="30"/>
      <c r="C99" s="27"/>
      <c r="D99" s="27"/>
      <c r="E99" s="27"/>
      <c r="F99" s="27"/>
      <c r="G99" s="27"/>
      <c r="H99" s="27"/>
      <c r="I99" s="27"/>
      <c r="J99" s="27"/>
    </row>
    <row r="100" spans="2:10" ht="17">
      <c r="B100" s="30"/>
      <c r="C100" s="27"/>
      <c r="D100" s="27"/>
      <c r="E100" s="27"/>
      <c r="F100" s="27"/>
      <c r="G100" s="27"/>
      <c r="H100" s="27"/>
      <c r="I100" s="27"/>
      <c r="J100" s="27"/>
    </row>
    <row r="101" spans="2:10" ht="17">
      <c r="B101" s="30"/>
      <c r="C101" s="27"/>
      <c r="D101" s="27"/>
      <c r="E101" s="27"/>
      <c r="F101" s="27"/>
      <c r="G101" s="27"/>
      <c r="H101" s="27"/>
      <c r="I101" s="27"/>
      <c r="J101" s="27"/>
    </row>
    <row r="102" spans="2:10" ht="17">
      <c r="B102" s="30"/>
      <c r="C102" s="27"/>
      <c r="D102" s="27"/>
      <c r="E102" s="27"/>
      <c r="F102" s="27"/>
      <c r="G102" s="27"/>
      <c r="H102" s="27"/>
      <c r="I102" s="27"/>
      <c r="J102" s="27"/>
    </row>
    <row r="103" spans="2:10" ht="17">
      <c r="B103" s="30"/>
      <c r="C103" s="27"/>
      <c r="D103" s="27"/>
      <c r="E103" s="27"/>
      <c r="F103" s="27"/>
      <c r="G103" s="27"/>
      <c r="H103" s="27"/>
      <c r="I103" s="27"/>
      <c r="J103" s="27"/>
    </row>
    <row r="104" spans="2:10" ht="17">
      <c r="B104" s="30"/>
      <c r="C104" s="27"/>
      <c r="D104" s="27"/>
      <c r="E104" s="27"/>
      <c r="F104" s="27"/>
      <c r="G104" s="27"/>
      <c r="H104" s="27"/>
      <c r="I104" s="27"/>
      <c r="J104" s="27"/>
    </row>
    <row r="105" spans="2:10" ht="17">
      <c r="B105" s="30"/>
      <c r="C105" s="27"/>
      <c r="D105" s="27"/>
      <c r="E105" s="27"/>
      <c r="F105" s="27"/>
      <c r="G105" s="27"/>
      <c r="H105" s="27"/>
      <c r="I105" s="27"/>
      <c r="J105" s="27"/>
    </row>
    <row r="106" spans="2:10" ht="17">
      <c r="B106" s="30"/>
      <c r="C106" s="27"/>
      <c r="D106" s="27"/>
      <c r="E106" s="27"/>
      <c r="F106" s="27"/>
      <c r="G106" s="27"/>
      <c r="H106" s="27"/>
      <c r="I106" s="27"/>
      <c r="J106" s="27"/>
    </row>
    <row r="107" spans="2:10" ht="17">
      <c r="B107" s="30"/>
      <c r="C107" s="27"/>
      <c r="D107" s="27"/>
      <c r="E107" s="27"/>
      <c r="F107" s="27"/>
      <c r="G107" s="27"/>
      <c r="H107" s="27"/>
      <c r="I107" s="27"/>
      <c r="J107" s="27"/>
    </row>
    <row r="108" spans="2:10" ht="17">
      <c r="B108" s="30"/>
      <c r="C108" s="27"/>
      <c r="D108" s="27"/>
      <c r="E108" s="27"/>
      <c r="F108" s="27"/>
      <c r="G108" s="27"/>
      <c r="H108" s="27"/>
      <c r="I108" s="27"/>
      <c r="J108" s="27"/>
    </row>
    <row r="109" spans="2:10" ht="17">
      <c r="B109" s="30"/>
      <c r="C109" s="27"/>
      <c r="D109" s="27"/>
      <c r="E109" s="27"/>
      <c r="F109" s="27"/>
      <c r="G109" s="27"/>
      <c r="H109" s="27"/>
      <c r="I109" s="27"/>
      <c r="J109" s="27"/>
    </row>
    <row r="110" spans="2:10" ht="17">
      <c r="B110" s="30"/>
      <c r="C110" s="27"/>
      <c r="D110" s="27"/>
      <c r="E110" s="27"/>
      <c r="F110" s="27"/>
      <c r="G110" s="27"/>
      <c r="H110" s="27"/>
      <c r="I110" s="27"/>
      <c r="J110" s="27"/>
    </row>
    <row r="111" spans="2:10" ht="17">
      <c r="B111" s="30"/>
      <c r="C111" s="27"/>
      <c r="D111" s="27"/>
      <c r="E111" s="27"/>
      <c r="F111" s="27"/>
      <c r="G111" s="27"/>
      <c r="H111" s="27"/>
      <c r="I111" s="27"/>
      <c r="J111" s="27"/>
    </row>
  </sheetData>
  <mergeCells count="12">
    <mergeCell ref="C70:H70"/>
    <mergeCell ref="C71:C72"/>
    <mergeCell ref="D71:F71"/>
    <mergeCell ref="G71:H71"/>
    <mergeCell ref="C3:E3"/>
    <mergeCell ref="C5:F5"/>
    <mergeCell ref="C7:F7"/>
    <mergeCell ref="C9:F9"/>
    <mergeCell ref="C55:H55"/>
    <mergeCell ref="C56:C57"/>
    <mergeCell ref="D56:F56"/>
    <mergeCell ref="G56:H56"/>
  </mergeCells>
  <phoneticPr fontId="42" type="noConversion"/>
  <pageMargins left="0.7" right="0.7" top="0.75" bottom="0.75" header="0.3" footer="0.3"/>
  <pageSetup paperSize="0" orientation="portrait" horizontalDpi="0" verticalDpi="0" copies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Daily (20260401-)</vt:lpstr>
      <vt:lpstr>Daily (20251226-)  </vt:lpstr>
      <vt:lpstr>Daily (20250921-20251225)  </vt:lpstr>
      <vt:lpstr>Daily (20250617-20250920) </vt:lpstr>
      <vt:lpstr>Daily (20250313-0616)</vt:lpstr>
      <vt:lpstr>EEOI說明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paullin</dc:creator>
  <cp:lastModifiedBy>crew</cp:lastModifiedBy>
  <cp:lastPrinted>2018-06-20T04:25:14Z</cp:lastPrinted>
  <dcterms:created xsi:type="dcterms:W3CDTF">2014-03-12T02:40:02Z</dcterms:created>
  <dcterms:modified xsi:type="dcterms:W3CDTF">2026-06-10T03:14:06Z</dcterms:modified>
</cp:coreProperties>
</file>